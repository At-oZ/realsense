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aw11\source\repos2\At-oZ\realsense\realsense\numbers\speed\"/>
    </mc:Choice>
  </mc:AlternateContent>
  <xr:revisionPtr revIDLastSave="0" documentId="13_ncr:1_{228A1138-C6C3-435E-9742-50DF05336BFC}" xr6:coauthVersionLast="47" xr6:coauthVersionMax="47" xr10:uidLastSave="{00000000-0000-0000-0000-000000000000}"/>
  <bookViews>
    <workbookView xWindow="19110" yWindow="0" windowWidth="19380" windowHeight="20970" xr2:uid="{323FC086-DA77-4261-A738-43D401CEE1F7}"/>
  </bookViews>
  <sheets>
    <sheet name="speed-prop-improve-v1-mandrill_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2" i="1"/>
</calcChain>
</file>

<file path=xl/sharedStrings.xml><?xml version="1.0" encoding="utf-8"?>
<sst xmlns="http://schemas.openxmlformats.org/spreadsheetml/2006/main" count="1" uniqueCount="1">
  <si>
    <t>Average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</si>
</sst>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456445129673476"/>
          <c:y val="5.5276562651890737E-2"/>
          <c:w val="0.87008589835361494"/>
          <c:h val="0.76656994264605816"/>
        </c:manualLayout>
      </c:layout>
      <c:scatterChart>
        <c:scatterStyle val="lineMarker"/>
        <c:varyColors val="0"/>
        <c:ser>
          <c:idx val="0"/>
          <c:order val="0"/>
          <c:tx>
            <c:v>256mm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'speed-prop-improve-v1-mandrill_'!$A$2:$A$6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'speed-prop-improve-v1-mandrill_'!$B$2:$B$6</c:f>
              <c:numCache>
                <c:formatCode>General</c:formatCode>
                <c:ptCount val="5"/>
                <c:pt idx="0">
                  <c:v>23.99</c:v>
                </c:pt>
                <c:pt idx="1">
                  <c:v>39.92</c:v>
                </c:pt>
                <c:pt idx="2">
                  <c:v>38.24</c:v>
                </c:pt>
                <c:pt idx="3">
                  <c:v>62.19</c:v>
                </c:pt>
                <c:pt idx="4">
                  <c:v>63.98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F5-46E9-B25C-9EF0DB945223}"/>
            </c:ext>
          </c:extLst>
        </c:ser>
        <c:ser>
          <c:idx val="1"/>
          <c:order val="1"/>
          <c:tx>
            <c:v>512mm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'speed-prop-improve-v1-mandrill_'!$A$2:$A$6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'speed-prop-improve-v1-mandrill_'!$C$2:$C$6</c:f>
              <c:numCache>
                <c:formatCode>General</c:formatCode>
                <c:ptCount val="5"/>
                <c:pt idx="0">
                  <c:v>31.22</c:v>
                </c:pt>
                <c:pt idx="1">
                  <c:v>46.53</c:v>
                </c:pt>
                <c:pt idx="2">
                  <c:v>44.46</c:v>
                </c:pt>
                <c:pt idx="3">
                  <c:v>69.81</c:v>
                </c:pt>
                <c:pt idx="4">
                  <c:v>70.31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3F5-46E9-B25C-9EF0DB945223}"/>
            </c:ext>
          </c:extLst>
        </c:ser>
        <c:ser>
          <c:idx val="2"/>
          <c:order val="2"/>
          <c:tx>
            <c:v>1024mm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'speed-prop-improve-v1-mandrill_'!$A$2:$A$6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'speed-prop-improve-v1-mandrill_'!$D$2:$D$6</c:f>
              <c:numCache>
                <c:formatCode>General</c:formatCode>
                <c:ptCount val="5"/>
                <c:pt idx="0">
                  <c:v>36.729999999999997</c:v>
                </c:pt>
                <c:pt idx="1">
                  <c:v>51.86</c:v>
                </c:pt>
                <c:pt idx="2">
                  <c:v>54.59</c:v>
                </c:pt>
                <c:pt idx="3">
                  <c:v>77.72</c:v>
                </c:pt>
                <c:pt idx="4">
                  <c:v>80.53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3F5-46E9-B25C-9EF0DB945223}"/>
            </c:ext>
          </c:extLst>
        </c:ser>
        <c:ser>
          <c:idx val="3"/>
          <c:order val="3"/>
          <c:tx>
            <c:v>2048mm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'speed-prop-improve-v1-mandrill_'!$A$2:$A$6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'speed-prop-improve-v1-mandrill_'!$E$2:$E$6</c:f>
              <c:numCache>
                <c:formatCode>General</c:formatCode>
                <c:ptCount val="5"/>
                <c:pt idx="0">
                  <c:v>44</c:v>
                </c:pt>
                <c:pt idx="1">
                  <c:v>58.49</c:v>
                </c:pt>
                <c:pt idx="2">
                  <c:v>57.59</c:v>
                </c:pt>
                <c:pt idx="3">
                  <c:v>79.92</c:v>
                </c:pt>
                <c:pt idx="4">
                  <c:v>82.44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3F5-46E9-B25C-9EF0DB945223}"/>
            </c:ext>
          </c:extLst>
        </c:ser>
        <c:ser>
          <c:idx val="4"/>
          <c:order val="4"/>
          <c:tx>
            <c:v>4096mm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'speed-prop-improve-v1-mandrill_'!$A$2:$A$6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'speed-prop-improve-v1-mandrill_'!$F$2:$F$6</c:f>
              <c:numCache>
                <c:formatCode>General</c:formatCode>
                <c:ptCount val="5"/>
                <c:pt idx="0">
                  <c:v>44.18</c:v>
                </c:pt>
                <c:pt idx="1">
                  <c:v>58.15</c:v>
                </c:pt>
                <c:pt idx="2">
                  <c:v>59.13</c:v>
                </c:pt>
                <c:pt idx="3">
                  <c:v>78.86</c:v>
                </c:pt>
                <c:pt idx="4">
                  <c:v>81.39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3F5-46E9-B25C-9EF0DB945223}"/>
            </c:ext>
          </c:extLst>
        </c:ser>
        <c:ser>
          <c:idx val="5"/>
          <c:order val="5"/>
          <c:tx>
            <c:v>8192mm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'speed-prop-improve-v1-mandrill_'!$A$2:$A$6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'speed-prop-improve-v1-mandrill_'!$G$2:$G$6</c:f>
              <c:numCache>
                <c:formatCode>General</c:formatCode>
                <c:ptCount val="5"/>
                <c:pt idx="0">
                  <c:v>43.68</c:v>
                </c:pt>
                <c:pt idx="1">
                  <c:v>58.26</c:v>
                </c:pt>
                <c:pt idx="2">
                  <c:v>57.47</c:v>
                </c:pt>
                <c:pt idx="3">
                  <c:v>79.459999999999994</c:v>
                </c:pt>
                <c:pt idx="4">
                  <c:v>80.349999999999994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3F5-46E9-B25C-9EF0DB945223}"/>
            </c:ext>
          </c:extLst>
        </c:ser>
        <c:ser>
          <c:idx val="6"/>
          <c:order val="6"/>
          <c:tx>
            <c:v>Average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'speed-prop-improve-v1-mandrill_'!$A$2:$A$6</c:f>
              <c:numCache>
                <c:formatCode>General</c:formatCode>
                <c:ptCount val="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</c:numCache>
            </c:numRef>
          </c:xVal>
          <c:yVal>
            <c:numRef>
              <c:f>'speed-prop-improve-v1-mandrill_'!$H$2:$H$6</c:f>
              <c:numCache>
                <c:formatCode>General</c:formatCode>
                <c:ptCount val="5"/>
                <c:pt idx="0">
                  <c:v>37.300000000000004</c:v>
                </c:pt>
                <c:pt idx="1">
                  <c:v>52.201666666666675</c:v>
                </c:pt>
                <c:pt idx="2">
                  <c:v>51.913333333333334</c:v>
                </c:pt>
                <c:pt idx="3">
                  <c:v>74.66</c:v>
                </c:pt>
                <c:pt idx="4">
                  <c:v>76.5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3F5-46E9-B25C-9EF0DB945223}"/>
            </c:ext>
          </c:extLst>
        </c:ser>
        <c:ser>
          <c:idx val="7"/>
          <c:order val="7"/>
          <c:tx>
            <c:v>Target</c:v>
          </c:tx>
          <c:spPr>
            <a:ln w="19050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noFill/>
              <a:ln w="9525">
                <a:noFill/>
                <a:prstDash val="dash"/>
              </a:ln>
              <a:effectLst/>
            </c:spPr>
          </c:marker>
          <c:xVal>
            <c:numRef>
              <c:f>'speed-prop-improve-v1-mandrill_'!$A$8:$A$9</c:f>
              <c:numCache>
                <c:formatCode>General</c:formatCode>
                <c:ptCount val="2"/>
                <c:pt idx="0">
                  <c:v>0</c:v>
                </c:pt>
                <c:pt idx="1">
                  <c:v>7</c:v>
                </c:pt>
              </c:numCache>
            </c:numRef>
          </c:xVal>
          <c:yVal>
            <c:numRef>
              <c:f>'speed-prop-improve-v1-mandrill_'!$B$8:$B$9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3F5-46E9-B25C-9EF0DB9452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1736015"/>
        <c:axId val="1011755215"/>
      </c:scatterChart>
      <c:valAx>
        <c:axId val="1011736015"/>
        <c:scaling>
          <c:orientation val="minMax"/>
          <c:max val="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/>
                  <a:t>Magnification of detailing</a:t>
                </a:r>
                <a:endParaRPr lang="ja-JP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1011755215"/>
        <c:crosses val="autoZero"/>
        <c:crossBetween val="midCat"/>
      </c:valAx>
      <c:valAx>
        <c:axId val="1011755215"/>
        <c:scaling>
          <c:orientation val="minMax"/>
          <c:max val="1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600"/>
                  <a:t>Time[ms]</a:t>
                </a:r>
                <a:endParaRPr lang="ja-JP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ja-JP"/>
            </a:p>
          </c:txPr>
        </c:title>
        <c:numFmt formatCode="General" sourceLinked="1"/>
        <c:majorTickMark val="in"/>
        <c:minorTickMark val="none"/>
        <c:tickLblPos val="nextTo"/>
        <c:spPr>
          <a:noFill/>
          <a:ln w="9525" cap="flat" cmpd="sng" algn="ctr">
            <a:solidFill>
              <a:schemeClr val="bg2">
                <a:lumMod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ja-JP"/>
          </a:p>
        </c:txPr>
        <c:crossAx val="1011736015"/>
        <c:crosses val="autoZero"/>
        <c:crossBetween val="midCat"/>
        <c:majorUnit val="10"/>
      </c:valAx>
      <c:spPr>
        <a:noFill/>
        <a:ln>
          <a:solidFill>
            <a:schemeClr val="bg2">
              <a:lumMod val="10000"/>
            </a:schemeClr>
          </a:solidFill>
        </a:ln>
        <a:effectLst/>
      </c:spPr>
    </c:plotArea>
    <c:legend>
      <c:legendPos val="t"/>
      <c:layout>
        <c:manualLayout>
          <c:xMode val="edge"/>
          <c:yMode val="edge"/>
          <c:x val="0.83496503496503494"/>
          <c:y val="0.41126531058617677"/>
          <c:w val="0.13286713286713286"/>
          <c:h val="0.39290655074365705"/>
        </c:manualLayout>
      </c:layout>
      <c:overlay val="0"/>
      <c:spPr>
        <a:solidFill>
          <a:sysClr val="window" lastClr="FFFFFF"/>
        </a:solidFill>
        <a:ln>
          <a:solidFill>
            <a:schemeClr val="bg2">
              <a:lumMod val="10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Times New Roman" panose="02020603050405020304" pitchFamily="18" charset="0"/>
          <a:cs typeface="Times New Roman" panose="02020603050405020304" pitchFamily="18" charset="0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6</xdr:row>
      <xdr:rowOff>0</xdr:rowOff>
    </xdr:from>
    <xdr:to>
      <xdr:col>20</xdr:col>
      <xdr:colOff>0</xdr:colOff>
      <xdr:row>22</xdr:row>
      <xdr:rowOff>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88A1226-AA4C-4DB7-9611-0CDD7E392B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aw11\source\repos2\At-oZ\realsense\realsense\numbers\PSNR\prop-improve\by_ideal\psnr-average_ideal_prop-improve-v1-nph_tileExpand.xlsx" TargetMode="External"/><Relationship Id="rId1" Type="http://schemas.openxmlformats.org/officeDocument/2006/relationships/externalLinkPath" Target="/Users/taw11/source/repos2/At-oZ/realsense/realsense/numbers/PSNR/prop-improve/by_ideal/psnr-average_ideal_prop-improve-v1-nph_tileExpan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snr-mandrill_real_prop-improve"/>
      <sheetName val="256mm"/>
      <sheetName val="512mm"/>
      <sheetName val="1024mm"/>
      <sheetName val="2048mm"/>
      <sheetName val="4096mm"/>
      <sheetName val="8192mm"/>
    </sheetNames>
    <sheetDataSet>
      <sheetData sheetId="0">
        <row r="2">
          <cell r="A2">
            <v>1</v>
          </cell>
          <cell r="B2">
            <v>27.756325</v>
          </cell>
          <cell r="C2">
            <v>35.503999999999998</v>
          </cell>
          <cell r="D2">
            <v>31.375925000000002</v>
          </cell>
          <cell r="E2">
            <v>30.705475</v>
          </cell>
          <cell r="F2">
            <v>25.295299999999997</v>
          </cell>
          <cell r="G2">
            <v>24.952500000000001</v>
          </cell>
          <cell r="H2">
            <v>29.264920833333331</v>
          </cell>
        </row>
        <row r="3">
          <cell r="A3">
            <v>2</v>
          </cell>
          <cell r="B3">
            <v>27.2805</v>
          </cell>
          <cell r="C3">
            <v>35.626550000000002</v>
          </cell>
          <cell r="D3">
            <v>33.377050000000004</v>
          </cell>
          <cell r="E3">
            <v>27.109625000000001</v>
          </cell>
          <cell r="F3">
            <v>28.574399999999997</v>
          </cell>
          <cell r="G3">
            <v>24.639475000000001</v>
          </cell>
          <cell r="H3">
            <v>29.4346</v>
          </cell>
        </row>
        <row r="4">
          <cell r="A4">
            <v>3</v>
          </cell>
          <cell r="B4">
            <v>31.629550000000002</v>
          </cell>
          <cell r="C4">
            <v>35.503999999999998</v>
          </cell>
          <cell r="D4">
            <v>37.262174999999999</v>
          </cell>
          <cell r="E4">
            <v>38.830375000000004</v>
          </cell>
          <cell r="F4">
            <v>37.953675000000004</v>
          </cell>
          <cell r="G4">
            <v>39.282349999999994</v>
          </cell>
          <cell r="H4">
            <v>36.7436875</v>
          </cell>
        </row>
        <row r="5">
          <cell r="A5">
            <v>4</v>
          </cell>
          <cell r="B5">
            <v>29.686299999999999</v>
          </cell>
          <cell r="C5">
            <v>34.730525</v>
          </cell>
          <cell r="D5">
            <v>39.727149999999995</v>
          </cell>
          <cell r="E5">
            <v>37.590525000000007</v>
          </cell>
          <cell r="F5">
            <v>35.678674999999998</v>
          </cell>
          <cell r="G5">
            <v>33.224125000000001</v>
          </cell>
          <cell r="H5">
            <v>35.106216666666661</v>
          </cell>
        </row>
        <row r="6">
          <cell r="A6">
            <v>5</v>
          </cell>
          <cell r="B6">
            <v>32.343599999999995</v>
          </cell>
          <cell r="C6">
            <v>31.901299999999999</v>
          </cell>
          <cell r="D6">
            <v>27.754899999999999</v>
          </cell>
          <cell r="E6">
            <v>39.72775</v>
          </cell>
          <cell r="F6">
            <v>40.425850000000004</v>
          </cell>
          <cell r="G6">
            <v>33.300699999999999</v>
          </cell>
          <cell r="H6">
            <v>34.242350000000002</v>
          </cell>
        </row>
      </sheetData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DFBCD-6C31-4FD4-9729-488C3F2F57F2}">
  <dimension ref="A1:H9"/>
  <sheetViews>
    <sheetView tabSelected="1" topLeftCell="E1" workbookViewId="0">
      <selection activeCell="S5" sqref="S5"/>
    </sheetView>
  </sheetViews>
  <sheetFormatPr defaultRowHeight="18" x14ac:dyDescent="0.55000000000000004"/>
  <sheetData>
    <row r="1" spans="1:8" x14ac:dyDescent="0.55000000000000004">
      <c r="B1">
        <v>256</v>
      </c>
      <c r="C1">
        <v>512</v>
      </c>
      <c r="D1">
        <v>1024</v>
      </c>
      <c r="E1">
        <v>2048</v>
      </c>
      <c r="F1">
        <v>4096</v>
      </c>
      <c r="G1">
        <v>8192</v>
      </c>
      <c r="H1" t="s">
        <v>0</v>
      </c>
    </row>
    <row r="2" spans="1:8" x14ac:dyDescent="0.55000000000000004">
      <c r="A2">
        <v>1</v>
      </c>
      <c r="B2">
        <v>23.99</v>
      </c>
      <c r="C2">
        <v>31.22</v>
      </c>
      <c r="D2">
        <v>36.729999999999997</v>
      </c>
      <c r="E2">
        <v>44</v>
      </c>
      <c r="F2">
        <v>44.18</v>
      </c>
      <c r="G2">
        <v>43.68</v>
      </c>
      <c r="H2">
        <f>AVERAGE(B2:G2)</f>
        <v>37.300000000000004</v>
      </c>
    </row>
    <row r="3" spans="1:8" x14ac:dyDescent="0.55000000000000004">
      <c r="A3">
        <v>2</v>
      </c>
      <c r="B3">
        <v>39.92</v>
      </c>
      <c r="C3">
        <v>46.53</v>
      </c>
      <c r="D3">
        <v>51.86</v>
      </c>
      <c r="E3">
        <v>58.49</v>
      </c>
      <c r="F3">
        <v>58.15</v>
      </c>
      <c r="G3">
        <v>58.26</v>
      </c>
      <c r="H3">
        <f t="shared" ref="H3:H6" si="0">AVERAGE(B3:G3)</f>
        <v>52.201666666666675</v>
      </c>
    </row>
    <row r="4" spans="1:8" x14ac:dyDescent="0.55000000000000004">
      <c r="A4">
        <v>3</v>
      </c>
      <c r="B4">
        <v>38.24</v>
      </c>
      <c r="C4">
        <v>44.46</v>
      </c>
      <c r="D4">
        <v>54.59</v>
      </c>
      <c r="E4">
        <v>57.59</v>
      </c>
      <c r="F4">
        <v>59.13</v>
      </c>
      <c r="G4">
        <v>57.47</v>
      </c>
      <c r="H4">
        <f t="shared" si="0"/>
        <v>51.913333333333334</v>
      </c>
    </row>
    <row r="5" spans="1:8" x14ac:dyDescent="0.55000000000000004">
      <c r="A5">
        <v>4</v>
      </c>
      <c r="B5">
        <v>62.19</v>
      </c>
      <c r="C5">
        <v>69.81</v>
      </c>
      <c r="D5">
        <v>77.72</v>
      </c>
      <c r="E5">
        <v>79.92</v>
      </c>
      <c r="F5">
        <v>78.86</v>
      </c>
      <c r="G5">
        <v>79.459999999999994</v>
      </c>
      <c r="H5">
        <f t="shared" si="0"/>
        <v>74.66</v>
      </c>
    </row>
    <row r="6" spans="1:8" x14ac:dyDescent="0.55000000000000004">
      <c r="A6">
        <v>5</v>
      </c>
      <c r="B6">
        <v>63.98</v>
      </c>
      <c r="C6">
        <v>70.31</v>
      </c>
      <c r="D6">
        <v>80.53</v>
      </c>
      <c r="E6">
        <v>82.44</v>
      </c>
      <c r="F6">
        <v>81.39</v>
      </c>
      <c r="G6">
        <v>80.349999999999994</v>
      </c>
      <c r="H6">
        <f t="shared" si="0"/>
        <v>76.5</v>
      </c>
    </row>
    <row r="8" spans="1:8" x14ac:dyDescent="0.55000000000000004">
      <c r="A8">
        <v>0</v>
      </c>
      <c r="B8">
        <v>100</v>
      </c>
    </row>
    <row r="9" spans="1:8" x14ac:dyDescent="0.55000000000000004">
      <c r="A9">
        <v>7</v>
      </c>
      <c r="B9">
        <v>100</v>
      </c>
    </row>
  </sheetData>
  <phoneticPr fontId="18"/>
  <pageMargins left="0.7" right="0.7" top="0.75" bottom="0.75" header="0.3" footer="0.3"/>
  <ignoredErrors>
    <ignoredError sqref="H2:H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speed-prop-improve-v1-mandrill_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渡辺哲生</dc:creator>
  <cp:lastModifiedBy>哲生 渡辺</cp:lastModifiedBy>
  <dcterms:created xsi:type="dcterms:W3CDTF">2025-01-27T08:09:11Z</dcterms:created>
  <dcterms:modified xsi:type="dcterms:W3CDTF">2025-01-27T12:33:43Z</dcterms:modified>
</cp:coreProperties>
</file>