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"/>
    </mc:Choice>
  </mc:AlternateContent>
  <xr:revisionPtr revIDLastSave="0" documentId="13_ncr:1_{540AE1CE-F961-4F3D-830E-094E69653B8E}" xr6:coauthVersionLast="47" xr6:coauthVersionMax="47" xr10:uidLastSave="{00000000-0000-0000-0000-000000000000}"/>
  <bookViews>
    <workbookView xWindow="12710" yWindow="0" windowWidth="12980" windowHeight="14490" xr2:uid="{44CF6CC6-5D1C-4740-9C9F-C50B4C4E1E40}"/>
  </bookViews>
  <sheets>
    <sheet name="X" sheetId="1" r:id="rId1"/>
    <sheet name="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2" l="1"/>
  <c r="B44" i="1"/>
  <c r="A46" i="1" a="1"/>
  <c r="A46" i="1" s="1"/>
  <c r="B47" i="1" s="1"/>
  <c r="A46" i="2" a="1"/>
  <c r="A46" i="2" s="1"/>
  <c r="B47" i="2" s="1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A43" i="1" a="1"/>
  <c r="A43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A43" i="2" l="1" a="1"/>
  <c r="A4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<sst xmlns="http://schemas.openxmlformats.org/spreadsheetml/2006/main" count="8" uniqueCount="6">
  <si>
    <t>Column</t>
  </si>
  <si>
    <t>X_Shift</t>
  </si>
  <si>
    <t>f</t>
  </si>
  <si>
    <t>f</t>
    <phoneticPr fontId="1"/>
  </si>
  <si>
    <t>Row</t>
  </si>
  <si>
    <t>Y_Shift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</si>
</sst>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X!$C$2:$C$41</c:f>
              <c:numCache>
                <c:formatCode>General</c:formatCode>
                <c:ptCount val="40"/>
                <c:pt idx="0">
                  <c:v>-87.944999999999993</c:v>
                </c:pt>
                <c:pt idx="1">
                  <c:v>-83.435000000000002</c:v>
                </c:pt>
                <c:pt idx="2">
                  <c:v>-78.924999999999997</c:v>
                </c:pt>
                <c:pt idx="3">
                  <c:v>-74.414999999999992</c:v>
                </c:pt>
                <c:pt idx="4">
                  <c:v>-69.905000000000001</c:v>
                </c:pt>
                <c:pt idx="5">
                  <c:v>-65.394999999999996</c:v>
                </c:pt>
                <c:pt idx="6">
                  <c:v>-60.884999999999998</c:v>
                </c:pt>
                <c:pt idx="7">
                  <c:v>-56.375</c:v>
                </c:pt>
                <c:pt idx="8">
                  <c:v>-51.864999999999995</c:v>
                </c:pt>
                <c:pt idx="9">
                  <c:v>-47.354999999999997</c:v>
                </c:pt>
                <c:pt idx="10">
                  <c:v>-42.844999999999999</c:v>
                </c:pt>
                <c:pt idx="11">
                  <c:v>-38.335000000000001</c:v>
                </c:pt>
                <c:pt idx="12">
                  <c:v>-33.824999999999996</c:v>
                </c:pt>
                <c:pt idx="13">
                  <c:v>-29.314999999999998</c:v>
                </c:pt>
                <c:pt idx="14">
                  <c:v>-24.805</c:v>
                </c:pt>
                <c:pt idx="15">
                  <c:v>-20.294999999999998</c:v>
                </c:pt>
                <c:pt idx="16">
                  <c:v>-15.785</c:v>
                </c:pt>
                <c:pt idx="17">
                  <c:v>-11.274999999999999</c:v>
                </c:pt>
                <c:pt idx="18">
                  <c:v>-6.7649999999999997</c:v>
                </c:pt>
                <c:pt idx="19">
                  <c:v>-2.2549999999999999</c:v>
                </c:pt>
                <c:pt idx="20">
                  <c:v>2.2549999999999999</c:v>
                </c:pt>
                <c:pt idx="21">
                  <c:v>6.7649999999999997</c:v>
                </c:pt>
                <c:pt idx="22">
                  <c:v>11.274999999999999</c:v>
                </c:pt>
                <c:pt idx="23">
                  <c:v>15.785</c:v>
                </c:pt>
                <c:pt idx="24">
                  <c:v>20.294999999999998</c:v>
                </c:pt>
                <c:pt idx="25">
                  <c:v>24.805</c:v>
                </c:pt>
                <c:pt idx="26">
                  <c:v>29.314999999999998</c:v>
                </c:pt>
                <c:pt idx="27">
                  <c:v>33.824999999999996</c:v>
                </c:pt>
                <c:pt idx="28">
                  <c:v>38.335000000000001</c:v>
                </c:pt>
                <c:pt idx="29">
                  <c:v>42.844999999999999</c:v>
                </c:pt>
                <c:pt idx="30">
                  <c:v>47.354999999999997</c:v>
                </c:pt>
                <c:pt idx="31">
                  <c:v>51.864999999999995</c:v>
                </c:pt>
                <c:pt idx="32">
                  <c:v>56.375</c:v>
                </c:pt>
                <c:pt idx="33">
                  <c:v>60.884999999999998</c:v>
                </c:pt>
                <c:pt idx="34">
                  <c:v>65.394999999999996</c:v>
                </c:pt>
                <c:pt idx="35">
                  <c:v>69.905000000000001</c:v>
                </c:pt>
                <c:pt idx="36">
                  <c:v>74.414999999999992</c:v>
                </c:pt>
                <c:pt idx="37">
                  <c:v>78.924999999999997</c:v>
                </c:pt>
                <c:pt idx="38">
                  <c:v>83.435000000000002</c:v>
                </c:pt>
                <c:pt idx="39">
                  <c:v>87.944999999999993</c:v>
                </c:pt>
              </c:numCache>
            </c:numRef>
          </c:xVal>
          <c:yVal>
            <c:numRef>
              <c:f>X!$D$2:$D$41</c:f>
              <c:numCache>
                <c:formatCode>General</c:formatCode>
                <c:ptCount val="40"/>
                <c:pt idx="0">
                  <c:v>-1.0522775621136471</c:v>
                </c:pt>
                <c:pt idx="1">
                  <c:v>-1.0522775621136471</c:v>
                </c:pt>
                <c:pt idx="2">
                  <c:v>-1.0522775621136471</c:v>
                </c:pt>
                <c:pt idx="3">
                  <c:v>-0.97711487910552952</c:v>
                </c:pt>
                <c:pt idx="4">
                  <c:v>-0.97711487910552952</c:v>
                </c:pt>
                <c:pt idx="5">
                  <c:v>-0.90195219609741184</c:v>
                </c:pt>
                <c:pt idx="6">
                  <c:v>-0.82678951308929416</c:v>
                </c:pt>
                <c:pt idx="7">
                  <c:v>-0.75162683008117648</c:v>
                </c:pt>
                <c:pt idx="8">
                  <c:v>-0.67646414707305891</c:v>
                </c:pt>
                <c:pt idx="9">
                  <c:v>-0.67646414707305891</c:v>
                </c:pt>
                <c:pt idx="10">
                  <c:v>-0.60130146406494123</c:v>
                </c:pt>
                <c:pt idx="11">
                  <c:v>-0.52613878105682355</c:v>
                </c:pt>
                <c:pt idx="12">
                  <c:v>-0.45097609804870592</c:v>
                </c:pt>
                <c:pt idx="13">
                  <c:v>-0.37581341504058824</c:v>
                </c:pt>
                <c:pt idx="14">
                  <c:v>-0.30065073203247061</c:v>
                </c:pt>
                <c:pt idx="15">
                  <c:v>-0.22548804902435296</c:v>
                </c:pt>
                <c:pt idx="16">
                  <c:v>-0.15032536601623531</c:v>
                </c:pt>
                <c:pt idx="17">
                  <c:v>-0.15032536601623531</c:v>
                </c:pt>
                <c:pt idx="18">
                  <c:v>-7.5162683008117653E-2</c:v>
                </c:pt>
                <c:pt idx="19">
                  <c:v>0</c:v>
                </c:pt>
                <c:pt idx="20">
                  <c:v>0</c:v>
                </c:pt>
                <c:pt idx="21">
                  <c:v>7.5162683008117653E-2</c:v>
                </c:pt>
                <c:pt idx="22">
                  <c:v>0.15032536601623531</c:v>
                </c:pt>
                <c:pt idx="23">
                  <c:v>0.22548804902435296</c:v>
                </c:pt>
                <c:pt idx="24">
                  <c:v>0.30065073203247061</c:v>
                </c:pt>
                <c:pt idx="25">
                  <c:v>0.37581341504058824</c:v>
                </c:pt>
                <c:pt idx="26">
                  <c:v>0.45097609804870592</c:v>
                </c:pt>
                <c:pt idx="27">
                  <c:v>0.52613878105682355</c:v>
                </c:pt>
                <c:pt idx="28">
                  <c:v>0.60130146406494123</c:v>
                </c:pt>
                <c:pt idx="29">
                  <c:v>0.60130146406494123</c:v>
                </c:pt>
                <c:pt idx="30">
                  <c:v>0.67646414707305891</c:v>
                </c:pt>
                <c:pt idx="31">
                  <c:v>0.75162683008117648</c:v>
                </c:pt>
                <c:pt idx="32">
                  <c:v>0.82678951308929416</c:v>
                </c:pt>
                <c:pt idx="33">
                  <c:v>0.90195219609741184</c:v>
                </c:pt>
                <c:pt idx="34">
                  <c:v>0.97711487910552952</c:v>
                </c:pt>
                <c:pt idx="35">
                  <c:v>1.0522775621136471</c:v>
                </c:pt>
                <c:pt idx="36">
                  <c:v>1.0522775621136471</c:v>
                </c:pt>
                <c:pt idx="37">
                  <c:v>1.1274402451217647</c:v>
                </c:pt>
                <c:pt idx="38">
                  <c:v>1.2026029281298825</c:v>
                </c:pt>
                <c:pt idx="39">
                  <c:v>1.277765611138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C3-45AD-86D0-1DCE2D599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506735"/>
        <c:axId val="564508175"/>
      </c:scatterChart>
      <c:valAx>
        <c:axId val="56450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4508175"/>
        <c:crosses val="autoZero"/>
        <c:crossBetween val="midCat"/>
      </c:valAx>
      <c:valAx>
        <c:axId val="56450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450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Y!$C$2:$C$41</c:f>
              <c:numCache>
                <c:formatCode>General</c:formatCode>
                <c:ptCount val="40"/>
                <c:pt idx="0">
                  <c:v>-87.944999999999993</c:v>
                </c:pt>
                <c:pt idx="1">
                  <c:v>-83.435000000000002</c:v>
                </c:pt>
                <c:pt idx="2">
                  <c:v>-78.924999999999997</c:v>
                </c:pt>
                <c:pt idx="3">
                  <c:v>-74.414999999999992</c:v>
                </c:pt>
                <c:pt idx="4">
                  <c:v>-69.905000000000001</c:v>
                </c:pt>
                <c:pt idx="5">
                  <c:v>-65.394999999999996</c:v>
                </c:pt>
                <c:pt idx="6">
                  <c:v>-60.884999999999998</c:v>
                </c:pt>
                <c:pt idx="7">
                  <c:v>-56.375</c:v>
                </c:pt>
                <c:pt idx="8">
                  <c:v>-51.864999999999995</c:v>
                </c:pt>
                <c:pt idx="9">
                  <c:v>-47.354999999999997</c:v>
                </c:pt>
                <c:pt idx="10">
                  <c:v>-42.844999999999999</c:v>
                </c:pt>
                <c:pt idx="11">
                  <c:v>-38.335000000000001</c:v>
                </c:pt>
                <c:pt idx="12">
                  <c:v>-33.824999999999996</c:v>
                </c:pt>
                <c:pt idx="13">
                  <c:v>-29.314999999999998</c:v>
                </c:pt>
                <c:pt idx="14">
                  <c:v>-24.805</c:v>
                </c:pt>
                <c:pt idx="15">
                  <c:v>-20.294999999999998</c:v>
                </c:pt>
                <c:pt idx="16">
                  <c:v>-15.785</c:v>
                </c:pt>
                <c:pt idx="17">
                  <c:v>-11.274999999999999</c:v>
                </c:pt>
                <c:pt idx="18">
                  <c:v>-6.7649999999999997</c:v>
                </c:pt>
                <c:pt idx="19">
                  <c:v>-2.2549999999999999</c:v>
                </c:pt>
                <c:pt idx="20">
                  <c:v>2.2549999999999999</c:v>
                </c:pt>
                <c:pt idx="21">
                  <c:v>6.7649999999999997</c:v>
                </c:pt>
                <c:pt idx="22">
                  <c:v>11.274999999999999</c:v>
                </c:pt>
                <c:pt idx="23">
                  <c:v>15.785</c:v>
                </c:pt>
                <c:pt idx="24">
                  <c:v>20.294999999999998</c:v>
                </c:pt>
                <c:pt idx="25">
                  <c:v>24.805</c:v>
                </c:pt>
                <c:pt idx="26">
                  <c:v>29.314999999999998</c:v>
                </c:pt>
                <c:pt idx="27">
                  <c:v>33.824999999999996</c:v>
                </c:pt>
                <c:pt idx="28">
                  <c:v>38.335000000000001</c:v>
                </c:pt>
                <c:pt idx="29">
                  <c:v>42.844999999999999</c:v>
                </c:pt>
                <c:pt idx="30">
                  <c:v>47.354999999999997</c:v>
                </c:pt>
                <c:pt idx="31">
                  <c:v>51.864999999999995</c:v>
                </c:pt>
                <c:pt idx="32">
                  <c:v>56.375</c:v>
                </c:pt>
                <c:pt idx="33">
                  <c:v>60.884999999999998</c:v>
                </c:pt>
                <c:pt idx="34">
                  <c:v>65.394999999999996</c:v>
                </c:pt>
                <c:pt idx="35">
                  <c:v>69.905000000000001</c:v>
                </c:pt>
                <c:pt idx="36">
                  <c:v>74.414999999999992</c:v>
                </c:pt>
                <c:pt idx="37">
                  <c:v>78.924999999999997</c:v>
                </c:pt>
                <c:pt idx="38">
                  <c:v>83.435000000000002</c:v>
                </c:pt>
                <c:pt idx="39">
                  <c:v>87.944999999999993</c:v>
                </c:pt>
              </c:numCache>
            </c:numRef>
          </c:xVal>
          <c:yVal>
            <c:numRef>
              <c:f>Y!$D$2:$D$41</c:f>
              <c:numCache>
                <c:formatCode>General</c:formatCode>
                <c:ptCount val="40"/>
                <c:pt idx="0">
                  <c:v>-0.97711487910552952</c:v>
                </c:pt>
                <c:pt idx="1">
                  <c:v>-0.97711487910552952</c:v>
                </c:pt>
                <c:pt idx="2">
                  <c:v>-0.90195219609741184</c:v>
                </c:pt>
                <c:pt idx="3">
                  <c:v>-0.90195219609741184</c:v>
                </c:pt>
                <c:pt idx="4">
                  <c:v>-0.82678951308929416</c:v>
                </c:pt>
                <c:pt idx="5">
                  <c:v>-0.82678951308929416</c:v>
                </c:pt>
                <c:pt idx="6">
                  <c:v>-0.75162683008117648</c:v>
                </c:pt>
                <c:pt idx="7">
                  <c:v>-0.67646414707305891</c:v>
                </c:pt>
                <c:pt idx="8">
                  <c:v>-0.60130146406494123</c:v>
                </c:pt>
                <c:pt idx="9">
                  <c:v>-0.60130146406494123</c:v>
                </c:pt>
                <c:pt idx="10">
                  <c:v>-0.52613878105682355</c:v>
                </c:pt>
                <c:pt idx="11">
                  <c:v>-0.45097609804870592</c:v>
                </c:pt>
                <c:pt idx="12">
                  <c:v>-0.45097609804870592</c:v>
                </c:pt>
                <c:pt idx="13">
                  <c:v>-0.37581341504058824</c:v>
                </c:pt>
                <c:pt idx="14">
                  <c:v>-0.30065073203247061</c:v>
                </c:pt>
                <c:pt idx="15">
                  <c:v>-0.22548804902435296</c:v>
                </c:pt>
                <c:pt idx="16">
                  <c:v>-0.15032536601623531</c:v>
                </c:pt>
                <c:pt idx="17">
                  <c:v>-7.5162683008117653E-2</c:v>
                </c:pt>
                <c:pt idx="18">
                  <c:v>-7.5162683008117653E-2</c:v>
                </c:pt>
                <c:pt idx="19">
                  <c:v>0</c:v>
                </c:pt>
                <c:pt idx="20">
                  <c:v>0</c:v>
                </c:pt>
                <c:pt idx="21">
                  <c:v>7.5162683008117653E-2</c:v>
                </c:pt>
                <c:pt idx="22">
                  <c:v>0.15032536601623531</c:v>
                </c:pt>
                <c:pt idx="23">
                  <c:v>0.22548804902435296</c:v>
                </c:pt>
                <c:pt idx="24">
                  <c:v>0.30065073203247061</c:v>
                </c:pt>
                <c:pt idx="25">
                  <c:v>0.37581341504058824</c:v>
                </c:pt>
                <c:pt idx="26">
                  <c:v>0.45097609804870592</c:v>
                </c:pt>
                <c:pt idx="27">
                  <c:v>0.45097609804870592</c:v>
                </c:pt>
                <c:pt idx="28">
                  <c:v>0.52613878105682355</c:v>
                </c:pt>
                <c:pt idx="29">
                  <c:v>0.60130146406494123</c:v>
                </c:pt>
                <c:pt idx="30">
                  <c:v>0.67646414707305891</c:v>
                </c:pt>
                <c:pt idx="31">
                  <c:v>0.67646414707305891</c:v>
                </c:pt>
                <c:pt idx="32">
                  <c:v>0.75162683008117648</c:v>
                </c:pt>
                <c:pt idx="33">
                  <c:v>0.82678951308929416</c:v>
                </c:pt>
                <c:pt idx="34">
                  <c:v>0.90195219609741184</c:v>
                </c:pt>
                <c:pt idx="35">
                  <c:v>0.97711487910552952</c:v>
                </c:pt>
                <c:pt idx="36">
                  <c:v>1.0522775621136471</c:v>
                </c:pt>
                <c:pt idx="37">
                  <c:v>1.1274402451217647</c:v>
                </c:pt>
                <c:pt idx="38">
                  <c:v>1.2026029281298825</c:v>
                </c:pt>
                <c:pt idx="39">
                  <c:v>1.2026029281298825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A1-4BD9-A930-7DFFDB5ED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506735"/>
        <c:axId val="564508175"/>
      </c:scatterChart>
      <c:valAx>
        <c:axId val="56450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4508175"/>
        <c:crosses val="autoZero"/>
        <c:crossBetween val="midCat"/>
      </c:valAx>
      <c:valAx>
        <c:axId val="56450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450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20</xdr:row>
      <xdr:rowOff>25400</xdr:rowOff>
    </xdr:from>
    <xdr:to>
      <xdr:col>11</xdr:col>
      <xdr:colOff>282575</xdr:colOff>
      <xdr:row>32</xdr:row>
      <xdr:rowOff>25400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AFE3B7B-A97A-260F-6563-419DB9488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20</xdr:row>
      <xdr:rowOff>25400</xdr:rowOff>
    </xdr:from>
    <xdr:to>
      <xdr:col>11</xdr:col>
      <xdr:colOff>282575</xdr:colOff>
      <xdr:row>32</xdr:row>
      <xdr:rowOff>25400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5943274-F999-4E40-8FAF-1C89325732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8C5E-2A51-4F6C-95BB-BF3C8E4B5451}">
  <dimension ref="A1:D47"/>
  <sheetViews>
    <sheetView tabSelected="1" topLeftCell="A25" workbookViewId="0">
      <selection activeCell="B45" sqref="B45"/>
    </sheetView>
  </sheetViews>
  <sheetFormatPr defaultRowHeight="18" x14ac:dyDescent="0.55000000000000004"/>
  <sheetData>
    <row r="1" spans="1:4" x14ac:dyDescent="0.55000000000000004">
      <c r="A1" t="s">
        <v>0</v>
      </c>
      <c r="B1" t="s">
        <v>1</v>
      </c>
    </row>
    <row r="2" spans="1:4" x14ac:dyDescent="0.55000000000000004">
      <c r="A2">
        <v>-20</v>
      </c>
      <c r="B2">
        <v>-14</v>
      </c>
      <c r="C2">
        <f>(A2+1/2)*4.51</f>
        <v>-87.944999999999993</v>
      </c>
      <c r="D2">
        <f>B2*13.4*25.4/SQRT(3840^2+2400^2)</f>
        <v>-1.0522775621136471</v>
      </c>
    </row>
    <row r="3" spans="1:4" x14ac:dyDescent="0.55000000000000004">
      <c r="A3">
        <v>-19</v>
      </c>
      <c r="B3">
        <v>-14</v>
      </c>
      <c r="C3">
        <f t="shared" ref="C3:C41" si="0">(A3+1/2)*4.51</f>
        <v>-83.435000000000002</v>
      </c>
      <c r="D3">
        <f t="shared" ref="D3:D41" si="1">B3*13.4*25.4/SQRT(3840^2+2400^2)</f>
        <v>-1.0522775621136471</v>
      </c>
    </row>
    <row r="4" spans="1:4" x14ac:dyDescent="0.55000000000000004">
      <c r="A4">
        <v>-18</v>
      </c>
      <c r="B4">
        <v>-14</v>
      </c>
      <c r="C4">
        <f t="shared" si="0"/>
        <v>-78.924999999999997</v>
      </c>
      <c r="D4">
        <f t="shared" si="1"/>
        <v>-1.0522775621136471</v>
      </c>
    </row>
    <row r="5" spans="1:4" x14ac:dyDescent="0.55000000000000004">
      <c r="A5">
        <v>-17</v>
      </c>
      <c r="B5">
        <v>-13</v>
      </c>
      <c r="C5">
        <f t="shared" si="0"/>
        <v>-74.414999999999992</v>
      </c>
      <c r="D5">
        <f t="shared" si="1"/>
        <v>-0.97711487910552952</v>
      </c>
    </row>
    <row r="6" spans="1:4" x14ac:dyDescent="0.55000000000000004">
      <c r="A6">
        <v>-16</v>
      </c>
      <c r="B6">
        <v>-13</v>
      </c>
      <c r="C6">
        <f t="shared" si="0"/>
        <v>-69.905000000000001</v>
      </c>
      <c r="D6">
        <f t="shared" si="1"/>
        <v>-0.97711487910552952</v>
      </c>
    </row>
    <row r="7" spans="1:4" x14ac:dyDescent="0.55000000000000004">
      <c r="A7">
        <v>-15</v>
      </c>
      <c r="B7">
        <v>-12</v>
      </c>
      <c r="C7">
        <f t="shared" si="0"/>
        <v>-65.394999999999996</v>
      </c>
      <c r="D7">
        <f t="shared" si="1"/>
        <v>-0.90195219609741184</v>
      </c>
    </row>
    <row r="8" spans="1:4" x14ac:dyDescent="0.55000000000000004">
      <c r="A8">
        <v>-14</v>
      </c>
      <c r="B8">
        <v>-11</v>
      </c>
      <c r="C8">
        <f t="shared" si="0"/>
        <v>-60.884999999999998</v>
      </c>
      <c r="D8">
        <f t="shared" si="1"/>
        <v>-0.82678951308929416</v>
      </c>
    </row>
    <row r="9" spans="1:4" x14ac:dyDescent="0.55000000000000004">
      <c r="A9">
        <v>-13</v>
      </c>
      <c r="B9">
        <v>-10</v>
      </c>
      <c r="C9">
        <f t="shared" si="0"/>
        <v>-56.375</v>
      </c>
      <c r="D9">
        <f t="shared" si="1"/>
        <v>-0.75162683008117648</v>
      </c>
    </row>
    <row r="10" spans="1:4" x14ac:dyDescent="0.55000000000000004">
      <c r="A10">
        <v>-12</v>
      </c>
      <c r="B10">
        <v>-9</v>
      </c>
      <c r="C10">
        <f t="shared" si="0"/>
        <v>-51.864999999999995</v>
      </c>
      <c r="D10">
        <f t="shared" si="1"/>
        <v>-0.67646414707305891</v>
      </c>
    </row>
    <row r="11" spans="1:4" x14ac:dyDescent="0.55000000000000004">
      <c r="A11">
        <v>-11</v>
      </c>
      <c r="B11">
        <v>-9</v>
      </c>
      <c r="C11">
        <f t="shared" si="0"/>
        <v>-47.354999999999997</v>
      </c>
      <c r="D11">
        <f t="shared" si="1"/>
        <v>-0.67646414707305891</v>
      </c>
    </row>
    <row r="12" spans="1:4" x14ac:dyDescent="0.55000000000000004">
      <c r="A12">
        <v>-10</v>
      </c>
      <c r="B12">
        <v>-8</v>
      </c>
      <c r="C12">
        <f t="shared" si="0"/>
        <v>-42.844999999999999</v>
      </c>
      <c r="D12">
        <f t="shared" si="1"/>
        <v>-0.60130146406494123</v>
      </c>
    </row>
    <row r="13" spans="1:4" x14ac:dyDescent="0.55000000000000004">
      <c r="A13">
        <v>-9</v>
      </c>
      <c r="B13">
        <v>-7</v>
      </c>
      <c r="C13">
        <f t="shared" si="0"/>
        <v>-38.335000000000001</v>
      </c>
      <c r="D13">
        <f t="shared" si="1"/>
        <v>-0.52613878105682355</v>
      </c>
    </row>
    <row r="14" spans="1:4" x14ac:dyDescent="0.55000000000000004">
      <c r="A14">
        <v>-8</v>
      </c>
      <c r="B14">
        <v>-6</v>
      </c>
      <c r="C14">
        <f t="shared" si="0"/>
        <v>-33.824999999999996</v>
      </c>
      <c r="D14">
        <f t="shared" si="1"/>
        <v>-0.45097609804870592</v>
      </c>
    </row>
    <row r="15" spans="1:4" x14ac:dyDescent="0.55000000000000004">
      <c r="A15">
        <v>-7</v>
      </c>
      <c r="B15">
        <v>-5</v>
      </c>
      <c r="C15">
        <f t="shared" si="0"/>
        <v>-29.314999999999998</v>
      </c>
      <c r="D15">
        <f t="shared" si="1"/>
        <v>-0.37581341504058824</v>
      </c>
    </row>
    <row r="16" spans="1:4" x14ac:dyDescent="0.55000000000000004">
      <c r="A16">
        <v>-6</v>
      </c>
      <c r="B16">
        <v>-4</v>
      </c>
      <c r="C16">
        <f t="shared" si="0"/>
        <v>-24.805</v>
      </c>
      <c r="D16">
        <f t="shared" si="1"/>
        <v>-0.30065073203247061</v>
      </c>
    </row>
    <row r="17" spans="1:4" x14ac:dyDescent="0.55000000000000004">
      <c r="A17">
        <v>-5</v>
      </c>
      <c r="B17">
        <v>-3</v>
      </c>
      <c r="C17">
        <f t="shared" si="0"/>
        <v>-20.294999999999998</v>
      </c>
      <c r="D17">
        <f t="shared" si="1"/>
        <v>-0.22548804902435296</v>
      </c>
    </row>
    <row r="18" spans="1:4" x14ac:dyDescent="0.55000000000000004">
      <c r="A18">
        <v>-4</v>
      </c>
      <c r="B18">
        <v>-2</v>
      </c>
      <c r="C18">
        <f t="shared" si="0"/>
        <v>-15.785</v>
      </c>
      <c r="D18">
        <f t="shared" si="1"/>
        <v>-0.15032536601623531</v>
      </c>
    </row>
    <row r="19" spans="1:4" x14ac:dyDescent="0.55000000000000004">
      <c r="A19">
        <v>-3</v>
      </c>
      <c r="B19">
        <v>-2</v>
      </c>
      <c r="C19">
        <f t="shared" si="0"/>
        <v>-11.274999999999999</v>
      </c>
      <c r="D19">
        <f t="shared" si="1"/>
        <v>-0.15032536601623531</v>
      </c>
    </row>
    <row r="20" spans="1:4" x14ac:dyDescent="0.55000000000000004">
      <c r="A20">
        <v>-2</v>
      </c>
      <c r="B20">
        <v>-1</v>
      </c>
      <c r="C20">
        <f t="shared" si="0"/>
        <v>-6.7649999999999997</v>
      </c>
      <c r="D20">
        <f t="shared" si="1"/>
        <v>-7.5162683008117653E-2</v>
      </c>
    </row>
    <row r="21" spans="1:4" x14ac:dyDescent="0.55000000000000004">
      <c r="A21">
        <v>-1</v>
      </c>
      <c r="B21">
        <v>0</v>
      </c>
      <c r="C21">
        <f t="shared" si="0"/>
        <v>-2.2549999999999999</v>
      </c>
      <c r="D21">
        <f t="shared" si="1"/>
        <v>0</v>
      </c>
    </row>
    <row r="22" spans="1:4" x14ac:dyDescent="0.55000000000000004">
      <c r="A22">
        <v>0</v>
      </c>
      <c r="B22">
        <v>0</v>
      </c>
      <c r="C22">
        <f t="shared" si="0"/>
        <v>2.2549999999999999</v>
      </c>
      <c r="D22">
        <f t="shared" si="1"/>
        <v>0</v>
      </c>
    </row>
    <row r="23" spans="1:4" x14ac:dyDescent="0.55000000000000004">
      <c r="A23">
        <v>1</v>
      </c>
      <c r="B23">
        <v>1</v>
      </c>
      <c r="C23">
        <f t="shared" si="0"/>
        <v>6.7649999999999997</v>
      </c>
      <c r="D23">
        <f t="shared" si="1"/>
        <v>7.5162683008117653E-2</v>
      </c>
    </row>
    <row r="24" spans="1:4" x14ac:dyDescent="0.55000000000000004">
      <c r="A24">
        <v>2</v>
      </c>
      <c r="B24">
        <v>2</v>
      </c>
      <c r="C24">
        <f t="shared" si="0"/>
        <v>11.274999999999999</v>
      </c>
      <c r="D24">
        <f t="shared" si="1"/>
        <v>0.15032536601623531</v>
      </c>
    </row>
    <row r="25" spans="1:4" x14ac:dyDescent="0.55000000000000004">
      <c r="A25">
        <v>3</v>
      </c>
      <c r="B25">
        <v>3</v>
      </c>
      <c r="C25">
        <f t="shared" si="0"/>
        <v>15.785</v>
      </c>
      <c r="D25">
        <f t="shared" si="1"/>
        <v>0.22548804902435296</v>
      </c>
    </row>
    <row r="26" spans="1:4" x14ac:dyDescent="0.55000000000000004">
      <c r="A26">
        <v>4</v>
      </c>
      <c r="B26">
        <v>4</v>
      </c>
      <c r="C26">
        <f t="shared" si="0"/>
        <v>20.294999999999998</v>
      </c>
      <c r="D26">
        <f t="shared" si="1"/>
        <v>0.30065073203247061</v>
      </c>
    </row>
    <row r="27" spans="1:4" x14ac:dyDescent="0.55000000000000004">
      <c r="A27">
        <v>5</v>
      </c>
      <c r="B27">
        <v>5</v>
      </c>
      <c r="C27">
        <f t="shared" si="0"/>
        <v>24.805</v>
      </c>
      <c r="D27">
        <f t="shared" si="1"/>
        <v>0.37581341504058824</v>
      </c>
    </row>
    <row r="28" spans="1:4" x14ac:dyDescent="0.55000000000000004">
      <c r="A28">
        <v>6</v>
      </c>
      <c r="B28">
        <v>6</v>
      </c>
      <c r="C28">
        <f t="shared" si="0"/>
        <v>29.314999999999998</v>
      </c>
      <c r="D28">
        <f t="shared" si="1"/>
        <v>0.45097609804870592</v>
      </c>
    </row>
    <row r="29" spans="1:4" x14ac:dyDescent="0.55000000000000004">
      <c r="A29">
        <v>7</v>
      </c>
      <c r="B29">
        <v>7</v>
      </c>
      <c r="C29">
        <f t="shared" si="0"/>
        <v>33.824999999999996</v>
      </c>
      <c r="D29">
        <f t="shared" si="1"/>
        <v>0.52613878105682355</v>
      </c>
    </row>
    <row r="30" spans="1:4" x14ac:dyDescent="0.55000000000000004">
      <c r="A30">
        <v>8</v>
      </c>
      <c r="B30">
        <v>8</v>
      </c>
      <c r="C30">
        <f t="shared" si="0"/>
        <v>38.335000000000001</v>
      </c>
      <c r="D30">
        <f t="shared" si="1"/>
        <v>0.60130146406494123</v>
      </c>
    </row>
    <row r="31" spans="1:4" x14ac:dyDescent="0.55000000000000004">
      <c r="A31">
        <v>9</v>
      </c>
      <c r="B31">
        <v>8</v>
      </c>
      <c r="C31">
        <f t="shared" si="0"/>
        <v>42.844999999999999</v>
      </c>
      <c r="D31">
        <f t="shared" si="1"/>
        <v>0.60130146406494123</v>
      </c>
    </row>
    <row r="32" spans="1:4" x14ac:dyDescent="0.55000000000000004">
      <c r="A32">
        <v>10</v>
      </c>
      <c r="B32">
        <v>9</v>
      </c>
      <c r="C32">
        <f t="shared" si="0"/>
        <v>47.354999999999997</v>
      </c>
      <c r="D32">
        <f t="shared" si="1"/>
        <v>0.67646414707305891</v>
      </c>
    </row>
    <row r="33" spans="1:4" x14ac:dyDescent="0.55000000000000004">
      <c r="A33">
        <v>11</v>
      </c>
      <c r="B33">
        <v>10</v>
      </c>
      <c r="C33">
        <f t="shared" si="0"/>
        <v>51.864999999999995</v>
      </c>
      <c r="D33">
        <f t="shared" si="1"/>
        <v>0.75162683008117648</v>
      </c>
    </row>
    <row r="34" spans="1:4" x14ac:dyDescent="0.55000000000000004">
      <c r="A34">
        <v>12</v>
      </c>
      <c r="B34">
        <v>11</v>
      </c>
      <c r="C34">
        <f t="shared" si="0"/>
        <v>56.375</v>
      </c>
      <c r="D34">
        <f t="shared" si="1"/>
        <v>0.82678951308929416</v>
      </c>
    </row>
    <row r="35" spans="1:4" x14ac:dyDescent="0.55000000000000004">
      <c r="A35">
        <v>13</v>
      </c>
      <c r="B35">
        <v>12</v>
      </c>
      <c r="C35">
        <f t="shared" si="0"/>
        <v>60.884999999999998</v>
      </c>
      <c r="D35">
        <f t="shared" si="1"/>
        <v>0.90195219609741184</v>
      </c>
    </row>
    <row r="36" spans="1:4" x14ac:dyDescent="0.55000000000000004">
      <c r="A36">
        <v>14</v>
      </c>
      <c r="B36">
        <v>13</v>
      </c>
      <c r="C36">
        <f t="shared" si="0"/>
        <v>65.394999999999996</v>
      </c>
      <c r="D36">
        <f t="shared" si="1"/>
        <v>0.97711487910552952</v>
      </c>
    </row>
    <row r="37" spans="1:4" x14ac:dyDescent="0.55000000000000004">
      <c r="A37">
        <v>15</v>
      </c>
      <c r="B37">
        <v>14</v>
      </c>
      <c r="C37">
        <f t="shared" si="0"/>
        <v>69.905000000000001</v>
      </c>
      <c r="D37">
        <f t="shared" si="1"/>
        <v>1.0522775621136471</v>
      </c>
    </row>
    <row r="38" spans="1:4" x14ac:dyDescent="0.55000000000000004">
      <c r="A38">
        <v>16</v>
      </c>
      <c r="B38">
        <v>14</v>
      </c>
      <c r="C38">
        <f t="shared" si="0"/>
        <v>74.414999999999992</v>
      </c>
      <c r="D38">
        <f t="shared" si="1"/>
        <v>1.0522775621136471</v>
      </c>
    </row>
    <row r="39" spans="1:4" x14ac:dyDescent="0.55000000000000004">
      <c r="A39">
        <v>17</v>
      </c>
      <c r="B39">
        <v>15</v>
      </c>
      <c r="C39">
        <f t="shared" si="0"/>
        <v>78.924999999999997</v>
      </c>
      <c r="D39">
        <f t="shared" si="1"/>
        <v>1.1274402451217647</v>
      </c>
    </row>
    <row r="40" spans="1:4" x14ac:dyDescent="0.55000000000000004">
      <c r="A40">
        <v>18</v>
      </c>
      <c r="B40">
        <v>16</v>
      </c>
      <c r="C40">
        <f t="shared" si="0"/>
        <v>83.435000000000002</v>
      </c>
      <c r="D40">
        <f t="shared" si="1"/>
        <v>1.2026029281298825</v>
      </c>
    </row>
    <row r="41" spans="1:4" x14ac:dyDescent="0.55000000000000004">
      <c r="A41">
        <v>19</v>
      </c>
      <c r="B41">
        <v>17</v>
      </c>
      <c r="C41">
        <f t="shared" si="0"/>
        <v>87.944999999999993</v>
      </c>
      <c r="D41">
        <f t="shared" si="1"/>
        <v>1.277765611138</v>
      </c>
    </row>
    <row r="43" spans="1:4" x14ac:dyDescent="0.55000000000000004">
      <c r="A43" cm="1">
        <f t="array" ref="A43:B43">LINEST(D2:D41,C2:C41,FALSE)</f>
        <v>1.3864180763947269E-2</v>
      </c>
      <c r="B43">
        <v>0</v>
      </c>
    </row>
    <row r="44" spans="1:4" x14ac:dyDescent="0.55000000000000004">
      <c r="A44" t="s">
        <v>3</v>
      </c>
      <c r="B44">
        <f>1010*A43</f>
        <v>14.002822571586741</v>
      </c>
    </row>
    <row r="46" spans="1:4" x14ac:dyDescent="0.55000000000000004">
      <c r="A46" cm="1">
        <f t="array" ref="A46:B46">LINEST(D2:D41,C2:C41)</f>
        <v>1.386418076394727E-2</v>
      </c>
      <c r="B46">
        <v>3.3823207353652969E-2</v>
      </c>
    </row>
    <row r="47" spans="1:4" x14ac:dyDescent="0.55000000000000004">
      <c r="A47" t="s">
        <v>3</v>
      </c>
      <c r="B47">
        <f>1000*A46</f>
        <v>13.864180763947271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0CF9-BC8F-4677-842F-AC5CFCCE71C9}">
  <dimension ref="A1:D47"/>
  <sheetViews>
    <sheetView topLeftCell="A27" workbookViewId="0">
      <selection activeCell="B45" sqref="B45"/>
    </sheetView>
  </sheetViews>
  <sheetFormatPr defaultRowHeight="18" x14ac:dyDescent="0.55000000000000004"/>
  <sheetData>
    <row r="1" spans="1:4" x14ac:dyDescent="0.55000000000000004">
      <c r="A1" t="s">
        <v>4</v>
      </c>
      <c r="B1" t="s">
        <v>5</v>
      </c>
    </row>
    <row r="2" spans="1:4" x14ac:dyDescent="0.55000000000000004">
      <c r="A2">
        <v>-20</v>
      </c>
      <c r="B2">
        <v>-13</v>
      </c>
      <c r="C2">
        <f>(A2+1/2)*4.51</f>
        <v>-87.944999999999993</v>
      </c>
      <c r="D2">
        <f>B2*13.4*25.4/SQRT(3840^2+2400^2)</f>
        <v>-0.97711487910552952</v>
      </c>
    </row>
    <row r="3" spans="1:4" x14ac:dyDescent="0.55000000000000004">
      <c r="A3">
        <v>-19</v>
      </c>
      <c r="B3">
        <v>-13</v>
      </c>
      <c r="C3">
        <f t="shared" ref="C3:C41" si="0">(A3+1/2)*4.51</f>
        <v>-83.435000000000002</v>
      </c>
      <c r="D3">
        <f t="shared" ref="D3:D41" si="1">B3*13.4*25.4/SQRT(3840^2+2400^2)</f>
        <v>-0.97711487910552952</v>
      </c>
    </row>
    <row r="4" spans="1:4" x14ac:dyDescent="0.55000000000000004">
      <c r="A4">
        <v>-18</v>
      </c>
      <c r="B4">
        <v>-12</v>
      </c>
      <c r="C4">
        <f t="shared" si="0"/>
        <v>-78.924999999999997</v>
      </c>
      <c r="D4">
        <f t="shared" si="1"/>
        <v>-0.90195219609741184</v>
      </c>
    </row>
    <row r="5" spans="1:4" x14ac:dyDescent="0.55000000000000004">
      <c r="A5">
        <v>-17</v>
      </c>
      <c r="B5">
        <v>-12</v>
      </c>
      <c r="C5">
        <f t="shared" si="0"/>
        <v>-74.414999999999992</v>
      </c>
      <c r="D5">
        <f t="shared" si="1"/>
        <v>-0.90195219609741184</v>
      </c>
    </row>
    <row r="6" spans="1:4" x14ac:dyDescent="0.55000000000000004">
      <c r="A6">
        <v>-16</v>
      </c>
      <c r="B6">
        <v>-11</v>
      </c>
      <c r="C6">
        <f t="shared" si="0"/>
        <v>-69.905000000000001</v>
      </c>
      <c r="D6">
        <f t="shared" si="1"/>
        <v>-0.82678951308929416</v>
      </c>
    </row>
    <row r="7" spans="1:4" x14ac:dyDescent="0.55000000000000004">
      <c r="A7">
        <v>-15</v>
      </c>
      <c r="B7">
        <v>-11</v>
      </c>
      <c r="C7">
        <f t="shared" si="0"/>
        <v>-65.394999999999996</v>
      </c>
      <c r="D7">
        <f t="shared" si="1"/>
        <v>-0.82678951308929416</v>
      </c>
    </row>
    <row r="8" spans="1:4" x14ac:dyDescent="0.55000000000000004">
      <c r="A8">
        <v>-14</v>
      </c>
      <c r="B8">
        <v>-10</v>
      </c>
      <c r="C8">
        <f t="shared" si="0"/>
        <v>-60.884999999999998</v>
      </c>
      <c r="D8">
        <f t="shared" si="1"/>
        <v>-0.75162683008117648</v>
      </c>
    </row>
    <row r="9" spans="1:4" x14ac:dyDescent="0.55000000000000004">
      <c r="A9">
        <v>-13</v>
      </c>
      <c r="B9">
        <v>-9</v>
      </c>
      <c r="C9">
        <f t="shared" si="0"/>
        <v>-56.375</v>
      </c>
      <c r="D9">
        <f t="shared" si="1"/>
        <v>-0.67646414707305891</v>
      </c>
    </row>
    <row r="10" spans="1:4" x14ac:dyDescent="0.55000000000000004">
      <c r="A10">
        <v>-12</v>
      </c>
      <c r="B10">
        <v>-8</v>
      </c>
      <c r="C10">
        <f t="shared" si="0"/>
        <v>-51.864999999999995</v>
      </c>
      <c r="D10">
        <f t="shared" si="1"/>
        <v>-0.60130146406494123</v>
      </c>
    </row>
    <row r="11" spans="1:4" x14ac:dyDescent="0.55000000000000004">
      <c r="A11">
        <v>-11</v>
      </c>
      <c r="B11">
        <v>-8</v>
      </c>
      <c r="C11">
        <f t="shared" si="0"/>
        <v>-47.354999999999997</v>
      </c>
      <c r="D11">
        <f t="shared" si="1"/>
        <v>-0.60130146406494123</v>
      </c>
    </row>
    <row r="12" spans="1:4" x14ac:dyDescent="0.55000000000000004">
      <c r="A12">
        <v>-10</v>
      </c>
      <c r="B12">
        <v>-7</v>
      </c>
      <c r="C12">
        <f t="shared" si="0"/>
        <v>-42.844999999999999</v>
      </c>
      <c r="D12">
        <f t="shared" si="1"/>
        <v>-0.52613878105682355</v>
      </c>
    </row>
    <row r="13" spans="1:4" x14ac:dyDescent="0.55000000000000004">
      <c r="A13">
        <v>-9</v>
      </c>
      <c r="B13">
        <v>-6</v>
      </c>
      <c r="C13">
        <f t="shared" si="0"/>
        <v>-38.335000000000001</v>
      </c>
      <c r="D13">
        <f t="shared" si="1"/>
        <v>-0.45097609804870592</v>
      </c>
    </row>
    <row r="14" spans="1:4" x14ac:dyDescent="0.55000000000000004">
      <c r="A14">
        <v>-8</v>
      </c>
      <c r="B14">
        <v>-6</v>
      </c>
      <c r="C14">
        <f t="shared" si="0"/>
        <v>-33.824999999999996</v>
      </c>
      <c r="D14">
        <f t="shared" si="1"/>
        <v>-0.45097609804870592</v>
      </c>
    </row>
    <row r="15" spans="1:4" x14ac:dyDescent="0.55000000000000004">
      <c r="A15">
        <v>-7</v>
      </c>
      <c r="B15">
        <v>-5</v>
      </c>
      <c r="C15">
        <f t="shared" si="0"/>
        <v>-29.314999999999998</v>
      </c>
      <c r="D15">
        <f t="shared" si="1"/>
        <v>-0.37581341504058824</v>
      </c>
    </row>
    <row r="16" spans="1:4" x14ac:dyDescent="0.55000000000000004">
      <c r="A16">
        <v>-6</v>
      </c>
      <c r="B16">
        <v>-4</v>
      </c>
      <c r="C16">
        <f t="shared" si="0"/>
        <v>-24.805</v>
      </c>
      <c r="D16">
        <f t="shared" si="1"/>
        <v>-0.30065073203247061</v>
      </c>
    </row>
    <row r="17" spans="1:4" x14ac:dyDescent="0.55000000000000004">
      <c r="A17">
        <v>-5</v>
      </c>
      <c r="B17">
        <v>-3</v>
      </c>
      <c r="C17">
        <f t="shared" si="0"/>
        <v>-20.294999999999998</v>
      </c>
      <c r="D17">
        <f t="shared" si="1"/>
        <v>-0.22548804902435296</v>
      </c>
    </row>
    <row r="18" spans="1:4" x14ac:dyDescent="0.55000000000000004">
      <c r="A18">
        <v>-4</v>
      </c>
      <c r="B18">
        <v>-2</v>
      </c>
      <c r="C18">
        <f t="shared" si="0"/>
        <v>-15.785</v>
      </c>
      <c r="D18">
        <f t="shared" si="1"/>
        <v>-0.15032536601623531</v>
      </c>
    </row>
    <row r="19" spans="1:4" x14ac:dyDescent="0.55000000000000004">
      <c r="A19">
        <v>-3</v>
      </c>
      <c r="B19">
        <v>-1</v>
      </c>
      <c r="C19">
        <f t="shared" si="0"/>
        <v>-11.274999999999999</v>
      </c>
      <c r="D19">
        <f t="shared" si="1"/>
        <v>-7.5162683008117653E-2</v>
      </c>
    </row>
    <row r="20" spans="1:4" x14ac:dyDescent="0.55000000000000004">
      <c r="A20">
        <v>-2</v>
      </c>
      <c r="B20">
        <v>-1</v>
      </c>
      <c r="C20">
        <f t="shared" si="0"/>
        <v>-6.7649999999999997</v>
      </c>
      <c r="D20">
        <f t="shared" si="1"/>
        <v>-7.5162683008117653E-2</v>
      </c>
    </row>
    <row r="21" spans="1:4" x14ac:dyDescent="0.55000000000000004">
      <c r="A21">
        <v>-1</v>
      </c>
      <c r="B21">
        <v>0</v>
      </c>
      <c r="C21">
        <f t="shared" si="0"/>
        <v>-2.2549999999999999</v>
      </c>
      <c r="D21">
        <f t="shared" si="1"/>
        <v>0</v>
      </c>
    </row>
    <row r="22" spans="1:4" x14ac:dyDescent="0.55000000000000004">
      <c r="A22">
        <v>0</v>
      </c>
      <c r="B22">
        <v>0</v>
      </c>
      <c r="C22">
        <f t="shared" si="0"/>
        <v>2.2549999999999999</v>
      </c>
      <c r="D22">
        <f t="shared" si="1"/>
        <v>0</v>
      </c>
    </row>
    <row r="23" spans="1:4" x14ac:dyDescent="0.55000000000000004">
      <c r="A23">
        <v>1</v>
      </c>
      <c r="B23">
        <v>1</v>
      </c>
      <c r="C23">
        <f t="shared" si="0"/>
        <v>6.7649999999999997</v>
      </c>
      <c r="D23">
        <f t="shared" si="1"/>
        <v>7.5162683008117653E-2</v>
      </c>
    </row>
    <row r="24" spans="1:4" x14ac:dyDescent="0.55000000000000004">
      <c r="A24">
        <v>2</v>
      </c>
      <c r="B24">
        <v>2</v>
      </c>
      <c r="C24">
        <f t="shared" si="0"/>
        <v>11.274999999999999</v>
      </c>
      <c r="D24">
        <f t="shared" si="1"/>
        <v>0.15032536601623531</v>
      </c>
    </row>
    <row r="25" spans="1:4" x14ac:dyDescent="0.55000000000000004">
      <c r="A25">
        <v>3</v>
      </c>
      <c r="B25">
        <v>3</v>
      </c>
      <c r="C25">
        <f t="shared" si="0"/>
        <v>15.785</v>
      </c>
      <c r="D25">
        <f t="shared" si="1"/>
        <v>0.22548804902435296</v>
      </c>
    </row>
    <row r="26" spans="1:4" x14ac:dyDescent="0.55000000000000004">
      <c r="A26">
        <v>4</v>
      </c>
      <c r="B26">
        <v>4</v>
      </c>
      <c r="C26">
        <f t="shared" si="0"/>
        <v>20.294999999999998</v>
      </c>
      <c r="D26">
        <f t="shared" si="1"/>
        <v>0.30065073203247061</v>
      </c>
    </row>
    <row r="27" spans="1:4" x14ac:dyDescent="0.55000000000000004">
      <c r="A27">
        <v>5</v>
      </c>
      <c r="B27">
        <v>5</v>
      </c>
      <c r="C27">
        <f t="shared" si="0"/>
        <v>24.805</v>
      </c>
      <c r="D27">
        <f t="shared" si="1"/>
        <v>0.37581341504058824</v>
      </c>
    </row>
    <row r="28" spans="1:4" x14ac:dyDescent="0.55000000000000004">
      <c r="A28">
        <v>6</v>
      </c>
      <c r="B28">
        <v>6</v>
      </c>
      <c r="C28">
        <f t="shared" si="0"/>
        <v>29.314999999999998</v>
      </c>
      <c r="D28">
        <f t="shared" si="1"/>
        <v>0.45097609804870592</v>
      </c>
    </row>
    <row r="29" spans="1:4" x14ac:dyDescent="0.55000000000000004">
      <c r="A29">
        <v>7</v>
      </c>
      <c r="B29">
        <v>6</v>
      </c>
      <c r="C29">
        <f t="shared" si="0"/>
        <v>33.824999999999996</v>
      </c>
      <c r="D29">
        <f t="shared" si="1"/>
        <v>0.45097609804870592</v>
      </c>
    </row>
    <row r="30" spans="1:4" x14ac:dyDescent="0.55000000000000004">
      <c r="A30">
        <v>8</v>
      </c>
      <c r="B30">
        <v>7</v>
      </c>
      <c r="C30">
        <f t="shared" si="0"/>
        <v>38.335000000000001</v>
      </c>
      <c r="D30">
        <f t="shared" si="1"/>
        <v>0.52613878105682355</v>
      </c>
    </row>
    <row r="31" spans="1:4" x14ac:dyDescent="0.55000000000000004">
      <c r="A31">
        <v>9</v>
      </c>
      <c r="B31">
        <v>8</v>
      </c>
      <c r="C31">
        <f t="shared" si="0"/>
        <v>42.844999999999999</v>
      </c>
      <c r="D31">
        <f t="shared" si="1"/>
        <v>0.60130146406494123</v>
      </c>
    </row>
    <row r="32" spans="1:4" x14ac:dyDescent="0.55000000000000004">
      <c r="A32">
        <v>10</v>
      </c>
      <c r="B32">
        <v>9</v>
      </c>
      <c r="C32">
        <f t="shared" si="0"/>
        <v>47.354999999999997</v>
      </c>
      <c r="D32">
        <f t="shared" si="1"/>
        <v>0.67646414707305891</v>
      </c>
    </row>
    <row r="33" spans="1:4" x14ac:dyDescent="0.55000000000000004">
      <c r="A33">
        <v>11</v>
      </c>
      <c r="B33">
        <v>9</v>
      </c>
      <c r="C33">
        <f t="shared" si="0"/>
        <v>51.864999999999995</v>
      </c>
      <c r="D33">
        <f t="shared" si="1"/>
        <v>0.67646414707305891</v>
      </c>
    </row>
    <row r="34" spans="1:4" x14ac:dyDescent="0.55000000000000004">
      <c r="A34">
        <v>12</v>
      </c>
      <c r="B34">
        <v>10</v>
      </c>
      <c r="C34">
        <f t="shared" si="0"/>
        <v>56.375</v>
      </c>
      <c r="D34">
        <f t="shared" si="1"/>
        <v>0.75162683008117648</v>
      </c>
    </row>
    <row r="35" spans="1:4" x14ac:dyDescent="0.55000000000000004">
      <c r="A35">
        <v>13</v>
      </c>
      <c r="B35">
        <v>11</v>
      </c>
      <c r="C35">
        <f t="shared" si="0"/>
        <v>60.884999999999998</v>
      </c>
      <c r="D35">
        <f t="shared" si="1"/>
        <v>0.82678951308929416</v>
      </c>
    </row>
    <row r="36" spans="1:4" x14ac:dyDescent="0.55000000000000004">
      <c r="A36">
        <v>14</v>
      </c>
      <c r="B36">
        <v>12</v>
      </c>
      <c r="C36">
        <f t="shared" si="0"/>
        <v>65.394999999999996</v>
      </c>
      <c r="D36">
        <f t="shared" si="1"/>
        <v>0.90195219609741184</v>
      </c>
    </row>
    <row r="37" spans="1:4" x14ac:dyDescent="0.55000000000000004">
      <c r="A37">
        <v>15</v>
      </c>
      <c r="B37">
        <v>13</v>
      </c>
      <c r="C37">
        <f t="shared" si="0"/>
        <v>69.905000000000001</v>
      </c>
      <c r="D37">
        <f t="shared" si="1"/>
        <v>0.97711487910552952</v>
      </c>
    </row>
    <row r="38" spans="1:4" x14ac:dyDescent="0.55000000000000004">
      <c r="A38">
        <v>16</v>
      </c>
      <c r="B38">
        <v>14</v>
      </c>
      <c r="C38">
        <f t="shared" si="0"/>
        <v>74.414999999999992</v>
      </c>
      <c r="D38">
        <f t="shared" si="1"/>
        <v>1.0522775621136471</v>
      </c>
    </row>
    <row r="39" spans="1:4" x14ac:dyDescent="0.55000000000000004">
      <c r="A39">
        <v>17</v>
      </c>
      <c r="B39">
        <v>15</v>
      </c>
      <c r="C39">
        <f t="shared" si="0"/>
        <v>78.924999999999997</v>
      </c>
      <c r="D39">
        <f t="shared" si="1"/>
        <v>1.1274402451217647</v>
      </c>
    </row>
    <row r="40" spans="1:4" x14ac:dyDescent="0.55000000000000004">
      <c r="A40">
        <v>18</v>
      </c>
      <c r="B40">
        <v>16</v>
      </c>
      <c r="C40">
        <f t="shared" si="0"/>
        <v>83.435000000000002</v>
      </c>
      <c r="D40">
        <f t="shared" si="1"/>
        <v>1.2026029281298825</v>
      </c>
    </row>
    <row r="41" spans="1:4" x14ac:dyDescent="0.55000000000000004">
      <c r="A41">
        <v>19</v>
      </c>
      <c r="B41">
        <v>16</v>
      </c>
      <c r="C41">
        <f t="shared" si="0"/>
        <v>87.944999999999993</v>
      </c>
      <c r="D41">
        <f t="shared" si="1"/>
        <v>1.2026029281298825</v>
      </c>
    </row>
    <row r="43" spans="1:4" x14ac:dyDescent="0.55000000000000004">
      <c r="A43" cm="1">
        <f t="array" ref="A43:B43">LINEST(D2:D41,C2:C41,FALSE)</f>
        <v>1.290582005033657E-2</v>
      </c>
      <c r="B43">
        <v>0</v>
      </c>
    </row>
    <row r="44" spans="1:4" x14ac:dyDescent="0.55000000000000004">
      <c r="A44" t="s">
        <v>3</v>
      </c>
      <c r="B44">
        <f>1010*A43</f>
        <v>13.034878250839936</v>
      </c>
    </row>
    <row r="46" spans="1:4" x14ac:dyDescent="0.55000000000000004">
      <c r="A46" cm="1">
        <f t="array" ref="A46:B46">LINEST(D2:D41,C2:C41)</f>
        <v>1.2905820050336575E-2</v>
      </c>
      <c r="B46">
        <v>4.6976676880073523E-2</v>
      </c>
    </row>
    <row r="47" spans="1:4" x14ac:dyDescent="0.55000000000000004">
      <c r="A47" t="s">
        <v>2</v>
      </c>
      <c r="B47">
        <f>1000*A46</f>
        <v>12.905820050336576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哲生 渡辺</dc:creator>
  <cp:lastModifiedBy>哲生 渡辺</cp:lastModifiedBy>
  <dcterms:created xsi:type="dcterms:W3CDTF">2025-05-14T17:59:16Z</dcterms:created>
  <dcterms:modified xsi:type="dcterms:W3CDTF">2025-05-14T19:08:14Z</dcterms:modified>
</cp:coreProperties>
</file>