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w11\source\repos2\At-oZ\realsense\realsense\numbers\PSNR\prop-improve\by_real\"/>
    </mc:Choice>
  </mc:AlternateContent>
  <xr:revisionPtr revIDLastSave="0" documentId="13_ncr:1_{96CC3C3B-9A9A-48AE-B75D-E5A7BF345D50}" xr6:coauthVersionLast="47" xr6:coauthVersionMax="47" xr10:uidLastSave="{00000000-0000-0000-0000-000000000000}"/>
  <bookViews>
    <workbookView xWindow="19110" yWindow="0" windowWidth="19380" windowHeight="20970" xr2:uid="{7B035AB1-48DB-49C7-9D95-4EB1F6218E35}"/>
  </bookViews>
  <sheets>
    <sheet name="psnr-mandrill_real_prop-improv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" i="1" l="1"/>
  <c r="C8" i="1"/>
  <c r="D8" i="1"/>
  <c r="E8" i="1"/>
  <c r="F8" i="1"/>
  <c r="G8" i="1"/>
  <c r="B8" i="1"/>
  <c r="H3" i="1"/>
  <c r="H4" i="1"/>
  <c r="H5" i="1"/>
  <c r="H6" i="1"/>
  <c r="H2" i="1"/>
</calcChain>
</file>

<file path=xl/sharedStrings.xml><?xml version="1.0" encoding="utf-8"?>
<sst xmlns="http://schemas.openxmlformats.org/spreadsheetml/2006/main" count="1" uniqueCount="1">
  <si>
    <t>Average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</si>
</sst>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256mm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'psnr-mandrill_real_prop-improve'!$A$2:$A$6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'psnr-mandrill_real_prop-improve'!$B$2:$B$6</c:f>
              <c:numCache>
                <c:formatCode>General</c:formatCode>
                <c:ptCount val="5"/>
                <c:pt idx="0">
                  <c:v>23.851700000000001</c:v>
                </c:pt>
                <c:pt idx="1">
                  <c:v>27.940799999999999</c:v>
                </c:pt>
                <c:pt idx="2">
                  <c:v>29.586500000000001</c:v>
                </c:pt>
                <c:pt idx="3">
                  <c:v>29.032</c:v>
                </c:pt>
                <c:pt idx="4">
                  <c:v>29.748100000000001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FF-4AF7-8055-F452DC58140D}"/>
            </c:ext>
          </c:extLst>
        </c:ser>
        <c:ser>
          <c:idx val="1"/>
          <c:order val="1"/>
          <c:tx>
            <c:v>512mm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'psnr-mandrill_real_prop-improve'!$A$2:$A$6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'psnr-mandrill_real_prop-improve'!$C$2:$C$6</c:f>
              <c:numCache>
                <c:formatCode>General</c:formatCode>
                <c:ptCount val="5"/>
                <c:pt idx="0">
                  <c:v>29.313800000000001</c:v>
                </c:pt>
                <c:pt idx="1">
                  <c:v>29.377600000000001</c:v>
                </c:pt>
                <c:pt idx="2">
                  <c:v>29.313800000000001</c:v>
                </c:pt>
                <c:pt idx="3">
                  <c:v>29.0824</c:v>
                </c:pt>
                <c:pt idx="4">
                  <c:v>28.258600000000001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7FF-4AF7-8055-F452DC58140D}"/>
            </c:ext>
          </c:extLst>
        </c:ser>
        <c:ser>
          <c:idx val="2"/>
          <c:order val="2"/>
          <c:tx>
            <c:v>1024mm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'psnr-mandrill_real_prop-improve'!$A$2:$A$6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'psnr-mandrill_real_prop-improve'!$D$2:$D$6</c:f>
              <c:numCache>
                <c:formatCode>General</c:formatCode>
                <c:ptCount val="5"/>
                <c:pt idx="0">
                  <c:v>26.1937</c:v>
                </c:pt>
                <c:pt idx="1">
                  <c:v>26.450500000000002</c:v>
                </c:pt>
                <c:pt idx="2">
                  <c:v>26.9542</c:v>
                </c:pt>
                <c:pt idx="3">
                  <c:v>27.165900000000001</c:v>
                </c:pt>
                <c:pt idx="4">
                  <c:v>23.906300000000002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7FF-4AF7-8055-F452DC58140D}"/>
            </c:ext>
          </c:extLst>
        </c:ser>
        <c:ser>
          <c:idx val="3"/>
          <c:order val="3"/>
          <c:tx>
            <c:v>2048mm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'psnr-mandrill_real_prop-improve'!$A$2:$A$6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'psnr-mandrill_real_prop-improve'!$E$2:$E$6</c:f>
              <c:numCache>
                <c:formatCode>General</c:formatCode>
                <c:ptCount val="5"/>
                <c:pt idx="0">
                  <c:v>24.077400000000001</c:v>
                </c:pt>
                <c:pt idx="1">
                  <c:v>23.5382</c:v>
                </c:pt>
                <c:pt idx="2">
                  <c:v>24.720500000000001</c:v>
                </c:pt>
                <c:pt idx="3">
                  <c:v>24.703299999999999</c:v>
                </c:pt>
                <c:pt idx="4">
                  <c:v>24.7728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7FF-4AF7-8055-F452DC58140D}"/>
            </c:ext>
          </c:extLst>
        </c:ser>
        <c:ser>
          <c:idx val="4"/>
          <c:order val="4"/>
          <c:tx>
            <c:v>4096mm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'psnr-mandrill_real_prop-improve'!$A$2:$A$6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'psnr-mandrill_real_prop-improve'!$F$2:$F$6</c:f>
              <c:numCache>
                <c:formatCode>General</c:formatCode>
                <c:ptCount val="5"/>
                <c:pt idx="0">
                  <c:v>20.464200000000002</c:v>
                </c:pt>
                <c:pt idx="1">
                  <c:v>22.7242</c:v>
                </c:pt>
                <c:pt idx="2">
                  <c:v>23.606999999999999</c:v>
                </c:pt>
                <c:pt idx="3">
                  <c:v>23.5701</c:v>
                </c:pt>
                <c:pt idx="4">
                  <c:v>23.6571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7FF-4AF7-8055-F452DC58140D}"/>
            </c:ext>
          </c:extLst>
        </c:ser>
        <c:ser>
          <c:idx val="5"/>
          <c:order val="5"/>
          <c:tx>
            <c:v>8192mm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'psnr-mandrill_real_prop-improve'!$A$2:$A$6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'psnr-mandrill_real_prop-improve'!$G$2:$G$6</c:f>
              <c:numCache>
                <c:formatCode>General</c:formatCode>
                <c:ptCount val="5"/>
                <c:pt idx="0">
                  <c:v>22.407699999999998</c:v>
                </c:pt>
                <c:pt idx="1">
                  <c:v>19.455300000000001</c:v>
                </c:pt>
                <c:pt idx="2">
                  <c:v>22.775400000000001</c:v>
                </c:pt>
                <c:pt idx="3">
                  <c:v>22.4405</c:v>
                </c:pt>
                <c:pt idx="4">
                  <c:v>23.239899999999999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7FF-4AF7-8055-F452DC58140D}"/>
            </c:ext>
          </c:extLst>
        </c:ser>
        <c:ser>
          <c:idx val="6"/>
          <c:order val="6"/>
          <c:tx>
            <c:v>Average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'psnr-mandrill_real_prop-improve'!$A$2:$A$6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'psnr-mandrill_real_prop-improve'!$H$2:$H$6</c:f>
              <c:numCache>
                <c:formatCode>General</c:formatCode>
                <c:ptCount val="5"/>
                <c:pt idx="0">
                  <c:v>24.38475</c:v>
                </c:pt>
                <c:pt idx="1">
                  <c:v>24.914433333333335</c:v>
                </c:pt>
                <c:pt idx="2">
                  <c:v>26.159566666666667</c:v>
                </c:pt>
                <c:pt idx="3">
                  <c:v>25.99903333333334</c:v>
                </c:pt>
                <c:pt idx="4">
                  <c:v>25.597133333333336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7FF-4AF7-8055-F452DC581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1736015"/>
        <c:axId val="1011755215"/>
      </c:scatterChart>
      <c:valAx>
        <c:axId val="1011736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Magnification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11755215"/>
        <c:crosses val="autoZero"/>
        <c:crossBetween val="midCat"/>
      </c:valAx>
      <c:valAx>
        <c:axId val="1011755215"/>
        <c:scaling>
          <c:orientation val="minMax"/>
          <c:min val="1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PSNR[dB]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117360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6"/>
          <c:order val="6"/>
          <c:tx>
            <c:v>Average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'psnr-mandrill_real_prop-improve'!$A$2:$A$6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'psnr-mandrill_real_prop-improve'!$H$2:$H$6</c:f>
              <c:numCache>
                <c:formatCode>General</c:formatCode>
                <c:ptCount val="5"/>
                <c:pt idx="0">
                  <c:v>24.38475</c:v>
                </c:pt>
                <c:pt idx="1">
                  <c:v>24.914433333333335</c:v>
                </c:pt>
                <c:pt idx="2">
                  <c:v>26.159566666666667</c:v>
                </c:pt>
                <c:pt idx="3">
                  <c:v>25.99903333333334</c:v>
                </c:pt>
                <c:pt idx="4">
                  <c:v>25.597133333333336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F41-4F1E-A431-09F1E51832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1736015"/>
        <c:axId val="1011755215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256mm</c:v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'psnr-mandrill_real_prop-improve'!$A$2:$A$6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'psnr-mandrill_real_prop-improve'!$B$2:$B$6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23.851700000000001</c:v>
                      </c:pt>
                      <c:pt idx="1">
                        <c:v>27.940799999999999</c:v>
                      </c:pt>
                      <c:pt idx="2">
                        <c:v>29.586500000000001</c:v>
                      </c:pt>
                      <c:pt idx="3">
                        <c:v>29.032</c:v>
                      </c:pt>
                      <c:pt idx="4">
                        <c:v>29.748100000000001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1F41-4F1E-A431-09F1E5183263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512mm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'psnr-mandrill_real_prop-improve'!$A$2:$A$6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'psnr-mandrill_real_prop-improve'!$C$2:$C$6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29.313800000000001</c:v>
                      </c:pt>
                      <c:pt idx="1">
                        <c:v>29.377600000000001</c:v>
                      </c:pt>
                      <c:pt idx="2">
                        <c:v>29.313800000000001</c:v>
                      </c:pt>
                      <c:pt idx="3">
                        <c:v>29.0824</c:v>
                      </c:pt>
                      <c:pt idx="4">
                        <c:v>28.258600000000001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1F41-4F1E-A431-09F1E5183263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1024mm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'psnr-mandrill_real_prop-improve'!$A$2:$A$6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'psnr-mandrill_real_prop-improve'!$D$2:$D$6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26.1937</c:v>
                      </c:pt>
                      <c:pt idx="1">
                        <c:v>26.450500000000002</c:v>
                      </c:pt>
                      <c:pt idx="2">
                        <c:v>26.9542</c:v>
                      </c:pt>
                      <c:pt idx="3">
                        <c:v>27.165900000000001</c:v>
                      </c:pt>
                      <c:pt idx="4">
                        <c:v>23.906300000000002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1F41-4F1E-A431-09F1E5183263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v>2048mm</c:v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'psnr-mandrill_real_prop-improve'!$A$2:$A$6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'psnr-mandrill_real_prop-improve'!$E$2:$E$6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24.077400000000001</c:v>
                      </c:pt>
                      <c:pt idx="1">
                        <c:v>23.5382</c:v>
                      </c:pt>
                      <c:pt idx="2">
                        <c:v>24.720500000000001</c:v>
                      </c:pt>
                      <c:pt idx="3">
                        <c:v>24.703299999999999</c:v>
                      </c:pt>
                      <c:pt idx="4">
                        <c:v>24.7728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F41-4F1E-A431-09F1E5183263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v>4096mm</c:v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'psnr-mandrill_real_prop-improve'!$A$2:$A$6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'psnr-mandrill_real_prop-improve'!$F$2:$F$6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20.464200000000002</c:v>
                      </c:pt>
                      <c:pt idx="1">
                        <c:v>22.7242</c:v>
                      </c:pt>
                      <c:pt idx="2">
                        <c:v>23.606999999999999</c:v>
                      </c:pt>
                      <c:pt idx="3">
                        <c:v>23.5701</c:v>
                      </c:pt>
                      <c:pt idx="4">
                        <c:v>23.6571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1F41-4F1E-A431-09F1E5183263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v>8192mm</c:v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'psnr-mandrill_real_prop-improve'!$A$2:$A$6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'psnr-mandrill_real_prop-improve'!$G$2:$G$6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22.407699999999998</c:v>
                      </c:pt>
                      <c:pt idx="1">
                        <c:v>19.455300000000001</c:v>
                      </c:pt>
                      <c:pt idx="2">
                        <c:v>22.775400000000001</c:v>
                      </c:pt>
                      <c:pt idx="3">
                        <c:v>22.4405</c:v>
                      </c:pt>
                      <c:pt idx="4">
                        <c:v>23.239899999999999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1F41-4F1E-A431-09F1E5183263}"/>
                  </c:ext>
                </c:extLst>
              </c15:ser>
            </c15:filteredScatterSeries>
          </c:ext>
        </c:extLst>
      </c:scatterChart>
      <c:valAx>
        <c:axId val="1011736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Magnification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11755215"/>
        <c:crosses val="autoZero"/>
        <c:crossBetween val="midCat"/>
      </c:valAx>
      <c:valAx>
        <c:axId val="1011755215"/>
        <c:scaling>
          <c:orientation val="minMax"/>
          <c:max val="27"/>
          <c:min val="2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PSNR[dB]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117360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0</xdr:rowOff>
    </xdr:from>
    <xdr:to>
      <xdr:col>20</xdr:col>
      <xdr:colOff>0</xdr:colOff>
      <xdr:row>18</xdr:row>
      <xdr:rowOff>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4C46FFC2-E4FC-744E-7987-E1B57CEF0D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19</xdr:row>
      <xdr:rowOff>0</xdr:rowOff>
    </xdr:from>
    <xdr:to>
      <xdr:col>20</xdr:col>
      <xdr:colOff>0</xdr:colOff>
      <xdr:row>35</xdr:row>
      <xdr:rowOff>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324C55E-B650-48EF-B1FF-D27591564B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C9648-DB82-4BD6-809D-71E9F1451E35}">
  <dimension ref="A1:H8"/>
  <sheetViews>
    <sheetView tabSelected="1" workbookViewId="0">
      <selection activeCell="B2" sqref="B2:G6"/>
    </sheetView>
  </sheetViews>
  <sheetFormatPr defaultRowHeight="18" x14ac:dyDescent="0.55000000000000004"/>
  <sheetData>
    <row r="1" spans="1:8" x14ac:dyDescent="0.55000000000000004">
      <c r="B1">
        <v>256</v>
      </c>
      <c r="C1">
        <v>512</v>
      </c>
      <c r="D1">
        <v>1024</v>
      </c>
      <c r="E1">
        <v>2048</v>
      </c>
      <c r="F1">
        <v>4096</v>
      </c>
      <c r="G1">
        <v>8192</v>
      </c>
      <c r="H1" t="s">
        <v>0</v>
      </c>
    </row>
    <row r="2" spans="1:8" x14ac:dyDescent="0.55000000000000004">
      <c r="A2">
        <v>1</v>
      </c>
      <c r="B2">
        <v>23.851700000000001</v>
      </c>
      <c r="C2">
        <v>29.313800000000001</v>
      </c>
      <c r="D2">
        <v>26.1937</v>
      </c>
      <c r="E2">
        <v>24.077400000000001</v>
      </c>
      <c r="F2">
        <v>20.464200000000002</v>
      </c>
      <c r="G2">
        <v>22.407699999999998</v>
      </c>
      <c r="H2">
        <f>AVERAGE(B2:G2)</f>
        <v>24.38475</v>
      </c>
    </row>
    <row r="3" spans="1:8" x14ac:dyDescent="0.55000000000000004">
      <c r="A3">
        <v>2</v>
      </c>
      <c r="B3">
        <v>27.940799999999999</v>
      </c>
      <c r="C3">
        <v>29.377600000000001</v>
      </c>
      <c r="D3">
        <v>26.450500000000002</v>
      </c>
      <c r="E3">
        <v>23.5382</v>
      </c>
      <c r="F3">
        <v>22.7242</v>
      </c>
      <c r="G3">
        <v>19.455300000000001</v>
      </c>
      <c r="H3">
        <f t="shared" ref="H3:H7" si="0">AVERAGE(B3:G3)</f>
        <v>24.914433333333335</v>
      </c>
    </row>
    <row r="4" spans="1:8" x14ac:dyDescent="0.55000000000000004">
      <c r="A4">
        <v>3</v>
      </c>
      <c r="B4">
        <v>29.586500000000001</v>
      </c>
      <c r="C4">
        <v>29.313800000000001</v>
      </c>
      <c r="D4">
        <v>26.9542</v>
      </c>
      <c r="E4">
        <v>24.720500000000001</v>
      </c>
      <c r="F4">
        <v>23.606999999999999</v>
      </c>
      <c r="G4">
        <v>22.775400000000001</v>
      </c>
      <c r="H4">
        <f t="shared" si="0"/>
        <v>26.159566666666667</v>
      </c>
    </row>
    <row r="5" spans="1:8" x14ac:dyDescent="0.55000000000000004">
      <c r="A5">
        <v>4</v>
      </c>
      <c r="B5">
        <v>29.032</v>
      </c>
      <c r="C5">
        <v>29.0824</v>
      </c>
      <c r="D5">
        <v>27.165900000000001</v>
      </c>
      <c r="E5">
        <v>24.703299999999999</v>
      </c>
      <c r="F5">
        <v>23.5701</v>
      </c>
      <c r="G5">
        <v>22.4405</v>
      </c>
      <c r="H5">
        <f t="shared" si="0"/>
        <v>25.99903333333334</v>
      </c>
    </row>
    <row r="6" spans="1:8" x14ac:dyDescent="0.55000000000000004">
      <c r="A6">
        <v>5</v>
      </c>
      <c r="B6">
        <v>29.748100000000001</v>
      </c>
      <c r="C6">
        <v>28.258600000000001</v>
      </c>
      <c r="D6">
        <v>23.906300000000002</v>
      </c>
      <c r="E6">
        <v>24.7728</v>
      </c>
      <c r="F6">
        <v>23.6571</v>
      </c>
      <c r="G6">
        <v>23.239899999999999</v>
      </c>
      <c r="H6">
        <f t="shared" si="0"/>
        <v>25.597133333333336</v>
      </c>
    </row>
    <row r="7" spans="1:8" x14ac:dyDescent="0.55000000000000004">
      <c r="A7">
        <v>40</v>
      </c>
      <c r="B7">
        <v>28.409400000000002</v>
      </c>
      <c r="C7">
        <v>30.742799999999999</v>
      </c>
      <c r="D7">
        <v>27.4497</v>
      </c>
      <c r="E7">
        <v>24.860499999999998</v>
      </c>
      <c r="F7">
        <v>23.651599999999998</v>
      </c>
      <c r="G7">
        <v>22.861000000000001</v>
      </c>
      <c r="H7">
        <f t="shared" si="0"/>
        <v>26.329166666666666</v>
      </c>
    </row>
    <row r="8" spans="1:8" x14ac:dyDescent="0.55000000000000004">
      <c r="B8">
        <f>B4-B7</f>
        <v>1.1770999999999994</v>
      </c>
      <c r="C8">
        <f t="shared" ref="C8:G8" si="1">C4-C7</f>
        <v>-1.4289999999999985</v>
      </c>
      <c r="D8">
        <f t="shared" si="1"/>
        <v>-0.49549999999999983</v>
      </c>
      <c r="E8">
        <f t="shared" si="1"/>
        <v>-0.13999999999999702</v>
      </c>
      <c r="F8">
        <f t="shared" si="1"/>
        <v>-4.4599999999999085E-2</v>
      </c>
      <c r="G8">
        <f t="shared" si="1"/>
        <v>-8.5599999999999454E-2</v>
      </c>
    </row>
  </sheetData>
  <phoneticPr fontId="18"/>
  <pageMargins left="0.7" right="0.7" top="0.75" bottom="0.75" header="0.3" footer="0.3"/>
  <ignoredErrors>
    <ignoredError sqref="H2:H6" formulaRang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psnr-mandrill_real_prop-improve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渡辺哲生</dc:creator>
  <cp:lastModifiedBy>哲生 渡辺</cp:lastModifiedBy>
  <dcterms:created xsi:type="dcterms:W3CDTF">2025-01-26T05:55:20Z</dcterms:created>
  <dcterms:modified xsi:type="dcterms:W3CDTF">2025-01-27T09:59:20Z</dcterms:modified>
</cp:coreProperties>
</file>