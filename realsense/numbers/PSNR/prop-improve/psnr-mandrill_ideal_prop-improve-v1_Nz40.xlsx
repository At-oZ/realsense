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w11\EvacuatedStorage\observe-image\"/>
    </mc:Choice>
  </mc:AlternateContent>
  <xr:revisionPtr revIDLastSave="0" documentId="13_ncr:1_{80902D4F-8BC6-405F-8A24-635C4993B558}" xr6:coauthVersionLast="47" xr6:coauthVersionMax="47" xr10:uidLastSave="{00000000-0000-0000-0000-000000000000}"/>
  <bookViews>
    <workbookView xWindow="150" yWindow="9240" windowWidth="21640" windowHeight="11200" xr2:uid="{F8221B24-CE8C-4284-B96B-48EDE3EFD3FB}"/>
  </bookViews>
  <sheets>
    <sheet name="psnr-mandrill_ideal_re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256mm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'psnr-mandrill_ideal_real'!$A$2:$A$6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'psnr-mandrill_ideal_real'!$B$2:$B$6</c:f>
              <c:numCache>
                <c:formatCode>General</c:formatCode>
                <c:ptCount val="5"/>
                <c:pt idx="0">
                  <c:v>31.769300000000001</c:v>
                </c:pt>
                <c:pt idx="1">
                  <c:v>22.2743</c:v>
                </c:pt>
                <c:pt idx="2">
                  <c:v>24.528500000000001</c:v>
                </c:pt>
                <c:pt idx="3">
                  <c:v>24.2164</c:v>
                </c:pt>
                <c:pt idx="4">
                  <c:v>23.720600000000001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3F-45AA-8887-92CF6B18A91D}"/>
            </c:ext>
          </c:extLst>
        </c:ser>
        <c:ser>
          <c:idx val="1"/>
          <c:order val="1"/>
          <c:tx>
            <c:v>512mm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'psnr-mandrill_ideal_real'!$A$2:$A$6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'psnr-mandrill_ideal_real'!$C$2:$C$6</c:f>
              <c:numCache>
                <c:formatCode>General</c:formatCode>
                <c:ptCount val="5"/>
                <c:pt idx="0">
                  <c:v>38.775700000000001</c:v>
                </c:pt>
                <c:pt idx="1">
                  <c:v>36.6905</c:v>
                </c:pt>
                <c:pt idx="2">
                  <c:v>38.775700000000001</c:v>
                </c:pt>
                <c:pt idx="3">
                  <c:v>39.719200000000001</c:v>
                </c:pt>
                <c:pt idx="4">
                  <c:v>24.332000000000001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F3F-45AA-8887-92CF6B18A91D}"/>
            </c:ext>
          </c:extLst>
        </c:ser>
        <c:ser>
          <c:idx val="2"/>
          <c:order val="2"/>
          <c:tx>
            <c:v>1024mm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'psnr-mandrill_ideal_real'!$A$2:$A$6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'psnr-mandrill_ideal_real'!$D$2:$D$6</c:f>
              <c:numCache>
                <c:formatCode>General</c:formatCode>
                <c:ptCount val="5"/>
                <c:pt idx="0">
                  <c:v>34.515799999999999</c:v>
                </c:pt>
                <c:pt idx="1">
                  <c:v>34.6357</c:v>
                </c:pt>
                <c:pt idx="2">
                  <c:v>24.1309</c:v>
                </c:pt>
                <c:pt idx="3">
                  <c:v>42.051600000000001</c:v>
                </c:pt>
                <c:pt idx="4">
                  <c:v>29.795100000000001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F3F-45AA-8887-92CF6B18A91D}"/>
            </c:ext>
          </c:extLst>
        </c:ser>
        <c:ser>
          <c:idx val="3"/>
          <c:order val="3"/>
          <c:tx>
            <c:v>2048mm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'psnr-mandrill_ideal_real'!$A$2:$A$6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'psnr-mandrill_ideal_real'!$E$2:$E$6</c:f>
              <c:numCache>
                <c:formatCode>General</c:formatCode>
                <c:ptCount val="5"/>
                <c:pt idx="0">
                  <c:v>35.664200000000001</c:v>
                </c:pt>
                <c:pt idx="1">
                  <c:v>27.279</c:v>
                </c:pt>
                <c:pt idx="2">
                  <c:v>44.116700000000002</c:v>
                </c:pt>
                <c:pt idx="3">
                  <c:v>37.341099999999997</c:v>
                </c:pt>
                <c:pt idx="4">
                  <c:v>46.148800000000001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F3F-45AA-8887-92CF6B18A91D}"/>
            </c:ext>
          </c:extLst>
        </c:ser>
        <c:ser>
          <c:idx val="4"/>
          <c:order val="4"/>
          <c:tx>
            <c:v>4096mm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'psnr-mandrill_ideal_real'!$A$2:$A$6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'psnr-mandrill_ideal_real'!$F$2:$F$6</c:f>
              <c:numCache>
                <c:formatCode>General</c:formatCode>
                <c:ptCount val="5"/>
                <c:pt idx="0">
                  <c:v>25.881</c:v>
                </c:pt>
                <c:pt idx="1">
                  <c:v>32.004300000000001</c:v>
                </c:pt>
                <c:pt idx="2">
                  <c:v>34.432899999999997</c:v>
                </c:pt>
                <c:pt idx="3">
                  <c:v>37.197899999999997</c:v>
                </c:pt>
                <c:pt idx="4">
                  <c:v>35.081899999999997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F3F-45AA-8887-92CF6B18A91D}"/>
            </c:ext>
          </c:extLst>
        </c:ser>
        <c:ser>
          <c:idx val="5"/>
          <c:order val="5"/>
          <c:tx>
            <c:v>8192mm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'psnr-mandrill_ideal_real'!$A$2:$A$6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'psnr-mandrill_ideal_real'!$G$2:$G$6</c:f>
              <c:numCache>
                <c:formatCode>General</c:formatCode>
                <c:ptCount val="5"/>
                <c:pt idx="0">
                  <c:v>33.025500000000001</c:v>
                </c:pt>
                <c:pt idx="1">
                  <c:v>43.130899999999997</c:v>
                </c:pt>
                <c:pt idx="2">
                  <c:v>41.920299999999997</c:v>
                </c:pt>
                <c:pt idx="3">
                  <c:v>37.042499999999997</c:v>
                </c:pt>
                <c:pt idx="4">
                  <c:v>43.091700000000003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F3F-45AA-8887-92CF6B18A91D}"/>
            </c:ext>
          </c:extLst>
        </c:ser>
        <c:ser>
          <c:idx val="6"/>
          <c:order val="6"/>
          <c:tx>
            <c:v>average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'psnr-mandrill_ideal_real'!$A$2:$A$6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'psnr-mandrill_ideal_real'!$H$2:$H$6</c:f>
              <c:numCache>
                <c:formatCode>General</c:formatCode>
                <c:ptCount val="5"/>
                <c:pt idx="0">
                  <c:v>33.271916666666662</c:v>
                </c:pt>
                <c:pt idx="1">
                  <c:v>32.669116666666667</c:v>
                </c:pt>
                <c:pt idx="2">
                  <c:v>34.650833333333331</c:v>
                </c:pt>
                <c:pt idx="3">
                  <c:v>36.261450000000004</c:v>
                </c:pt>
                <c:pt idx="4">
                  <c:v>33.695016666666668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18-4BAE-9533-0606D4E5A4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083023"/>
        <c:axId val="214073423"/>
      </c:scatterChart>
      <c:valAx>
        <c:axId val="214083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/>
                  <a:t>N</a:t>
                </a:r>
                <a:endParaRPr lang="ja-JP" alt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4073423"/>
        <c:crosses val="autoZero"/>
        <c:crossBetween val="midCat"/>
      </c:valAx>
      <c:valAx>
        <c:axId val="214073423"/>
        <c:scaling>
          <c:orientation val="minMax"/>
          <c:min val="1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/>
                  <a:t>PSNR[dB]</a:t>
                </a:r>
                <a:endParaRPr lang="ja-JP" alt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4083023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t"/>
      <c:layout>
        <c:manualLayout>
          <c:xMode val="edge"/>
          <c:yMode val="edge"/>
          <c:x val="0"/>
          <c:y val="2.7777777777777776E-2"/>
          <c:w val="1"/>
          <c:h val="6.25004374453193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6"/>
          <c:order val="6"/>
          <c:tx>
            <c:v>average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'psnr-mandrill_ideal_real'!$A$2:$A$6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'psnr-mandrill_ideal_real'!$H$2:$H$6</c:f>
              <c:numCache>
                <c:formatCode>General</c:formatCode>
                <c:ptCount val="5"/>
                <c:pt idx="0">
                  <c:v>33.271916666666662</c:v>
                </c:pt>
                <c:pt idx="1">
                  <c:v>32.669116666666667</c:v>
                </c:pt>
                <c:pt idx="2">
                  <c:v>34.650833333333331</c:v>
                </c:pt>
                <c:pt idx="3">
                  <c:v>36.261450000000004</c:v>
                </c:pt>
                <c:pt idx="4">
                  <c:v>33.695016666666668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8EF-4763-8A6E-1A82F644A9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083023"/>
        <c:axId val="214073423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256mm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'psnr-mandrill_ideal_real'!$A$2:$A$6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'psnr-mandrill_ideal_real'!$B$2:$B$6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31.769300000000001</c:v>
                      </c:pt>
                      <c:pt idx="1">
                        <c:v>22.2743</c:v>
                      </c:pt>
                      <c:pt idx="2">
                        <c:v>24.528500000000001</c:v>
                      </c:pt>
                      <c:pt idx="3">
                        <c:v>24.2164</c:v>
                      </c:pt>
                      <c:pt idx="4">
                        <c:v>23.720600000000001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C8EF-4763-8A6E-1A82F644A909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512mm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'psnr-mandrill_ideal_real'!$C$2:$C$6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38.775700000000001</c:v>
                      </c:pt>
                      <c:pt idx="1">
                        <c:v>36.6905</c:v>
                      </c:pt>
                      <c:pt idx="2">
                        <c:v>38.775700000000001</c:v>
                      </c:pt>
                      <c:pt idx="3">
                        <c:v>39.719200000000001</c:v>
                      </c:pt>
                      <c:pt idx="4">
                        <c:v>24.332000000000001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C8EF-4763-8A6E-1A82F644A909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1024mm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'psnr-mandrill_ideal_real'!$D$2:$D$6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34.515799999999999</c:v>
                      </c:pt>
                      <c:pt idx="1">
                        <c:v>34.6357</c:v>
                      </c:pt>
                      <c:pt idx="2">
                        <c:v>24.1309</c:v>
                      </c:pt>
                      <c:pt idx="3">
                        <c:v>42.051600000000001</c:v>
                      </c:pt>
                      <c:pt idx="4">
                        <c:v>29.795100000000001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8EF-4763-8A6E-1A82F644A909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2048mm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'psnr-mandrill_ideal_real'!$E$2:$E$6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35.664200000000001</c:v>
                      </c:pt>
                      <c:pt idx="1">
                        <c:v>27.279</c:v>
                      </c:pt>
                      <c:pt idx="2">
                        <c:v>44.116700000000002</c:v>
                      </c:pt>
                      <c:pt idx="3">
                        <c:v>37.341099999999997</c:v>
                      </c:pt>
                      <c:pt idx="4">
                        <c:v>46.148800000000001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8EF-4763-8A6E-1A82F644A909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v>4096mm</c:v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'psnr-mandrill_ideal_real'!$F$2:$F$6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25.881</c:v>
                      </c:pt>
                      <c:pt idx="1">
                        <c:v>32.004300000000001</c:v>
                      </c:pt>
                      <c:pt idx="2">
                        <c:v>34.432899999999997</c:v>
                      </c:pt>
                      <c:pt idx="3">
                        <c:v>37.197899999999997</c:v>
                      </c:pt>
                      <c:pt idx="4">
                        <c:v>35.081899999999997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C8EF-4763-8A6E-1A82F644A909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8192mm</c:v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'psnr-mandrill_ideal_real'!$G$2:$G$6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33.025500000000001</c:v>
                      </c:pt>
                      <c:pt idx="1">
                        <c:v>43.130899999999997</c:v>
                      </c:pt>
                      <c:pt idx="2">
                        <c:v>41.920299999999997</c:v>
                      </c:pt>
                      <c:pt idx="3">
                        <c:v>37.042499999999997</c:v>
                      </c:pt>
                      <c:pt idx="4">
                        <c:v>43.091700000000003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C8EF-4763-8A6E-1A82F644A909}"/>
                  </c:ext>
                </c:extLst>
              </c15:ser>
            </c15:filteredScatterSeries>
          </c:ext>
        </c:extLst>
      </c:scatterChart>
      <c:valAx>
        <c:axId val="214083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/>
                  <a:t>N</a:t>
                </a:r>
                <a:endParaRPr lang="ja-JP" alt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4073423"/>
        <c:crosses val="autoZero"/>
        <c:crossBetween val="midCat"/>
      </c:valAx>
      <c:valAx>
        <c:axId val="214073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/>
                  <a:t>PSNR[dB]</a:t>
                </a:r>
                <a:endParaRPr lang="ja-JP" alt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4083023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t"/>
      <c:layout>
        <c:manualLayout>
          <c:xMode val="edge"/>
          <c:yMode val="edge"/>
          <c:x val="0"/>
          <c:y val="2.7777777777777776E-2"/>
          <c:w val="1"/>
          <c:h val="6.25004374453193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18</xdr:col>
      <xdr:colOff>0</xdr:colOff>
      <xdr:row>17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1B6961DD-9565-E96B-42B7-FD268715D6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19</xdr:row>
      <xdr:rowOff>0</xdr:rowOff>
    </xdr:from>
    <xdr:to>
      <xdr:col>18</xdr:col>
      <xdr:colOff>0</xdr:colOff>
      <xdr:row>34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33890F6B-A1C3-499C-84E9-29AF9E60FD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10512-63FB-4319-992E-A5FCCE9FA93B}">
  <dimension ref="A1:H6"/>
  <sheetViews>
    <sheetView tabSelected="1" workbookViewId="0">
      <selection activeCell="B2" sqref="B2:G6"/>
    </sheetView>
  </sheetViews>
  <sheetFormatPr defaultRowHeight="18" x14ac:dyDescent="0.55000000000000004"/>
  <sheetData>
    <row r="1" spans="1:8" x14ac:dyDescent="0.55000000000000004">
      <c r="B1">
        <v>256</v>
      </c>
      <c r="C1">
        <v>512</v>
      </c>
      <c r="D1">
        <v>1024</v>
      </c>
      <c r="E1">
        <v>2048</v>
      </c>
      <c r="F1">
        <v>4096</v>
      </c>
      <c r="G1">
        <v>8192</v>
      </c>
    </row>
    <row r="2" spans="1:8" x14ac:dyDescent="0.55000000000000004">
      <c r="A2">
        <v>1</v>
      </c>
      <c r="B2">
        <v>31.769300000000001</v>
      </c>
      <c r="C2">
        <v>38.775700000000001</v>
      </c>
      <c r="D2">
        <v>34.515799999999999</v>
      </c>
      <c r="E2">
        <v>35.664200000000001</v>
      </c>
      <c r="F2">
        <v>25.881</v>
      </c>
      <c r="G2">
        <v>33.025500000000001</v>
      </c>
      <c r="H2">
        <f>AVERAGE(B2:G2)</f>
        <v>33.271916666666662</v>
      </c>
    </row>
    <row r="3" spans="1:8" x14ac:dyDescent="0.55000000000000004">
      <c r="A3">
        <v>2</v>
      </c>
      <c r="B3">
        <v>22.2743</v>
      </c>
      <c r="C3">
        <v>36.6905</v>
      </c>
      <c r="D3">
        <v>34.6357</v>
      </c>
      <c r="E3">
        <v>27.279</v>
      </c>
      <c r="F3">
        <v>32.004300000000001</v>
      </c>
      <c r="G3">
        <v>43.130899999999997</v>
      </c>
      <c r="H3">
        <f t="shared" ref="H3:H6" si="0">AVERAGE(B3:G3)</f>
        <v>32.669116666666667</v>
      </c>
    </row>
    <row r="4" spans="1:8" x14ac:dyDescent="0.55000000000000004">
      <c r="A4">
        <v>3</v>
      </c>
      <c r="B4">
        <v>24.528500000000001</v>
      </c>
      <c r="C4">
        <v>38.775700000000001</v>
      </c>
      <c r="D4">
        <v>24.1309</v>
      </c>
      <c r="E4">
        <v>44.116700000000002</v>
      </c>
      <c r="F4">
        <v>34.432899999999997</v>
      </c>
      <c r="G4">
        <v>41.920299999999997</v>
      </c>
      <c r="H4">
        <f t="shared" si="0"/>
        <v>34.650833333333331</v>
      </c>
    </row>
    <row r="5" spans="1:8" x14ac:dyDescent="0.55000000000000004">
      <c r="A5">
        <v>4</v>
      </c>
      <c r="B5">
        <v>24.2164</v>
      </c>
      <c r="C5">
        <v>39.719200000000001</v>
      </c>
      <c r="D5">
        <v>42.051600000000001</v>
      </c>
      <c r="E5">
        <v>37.341099999999997</v>
      </c>
      <c r="F5">
        <v>37.197899999999997</v>
      </c>
      <c r="G5">
        <v>37.042499999999997</v>
      </c>
      <c r="H5">
        <f t="shared" si="0"/>
        <v>36.261450000000004</v>
      </c>
    </row>
    <row r="6" spans="1:8" x14ac:dyDescent="0.55000000000000004">
      <c r="A6">
        <v>5</v>
      </c>
      <c r="B6">
        <v>23.720600000000001</v>
      </c>
      <c r="C6">
        <v>24.332000000000001</v>
      </c>
      <c r="D6">
        <v>29.795100000000001</v>
      </c>
      <c r="E6">
        <v>46.148800000000001</v>
      </c>
      <c r="F6">
        <v>35.081899999999997</v>
      </c>
      <c r="G6">
        <v>43.091700000000003</v>
      </c>
      <c r="H6">
        <f t="shared" si="0"/>
        <v>33.695016666666668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psnr-mandrill_ideal_real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渡辺哲生</dc:creator>
  <cp:lastModifiedBy>哲生 渡辺</cp:lastModifiedBy>
  <dcterms:created xsi:type="dcterms:W3CDTF">2025-01-19T22:30:29Z</dcterms:created>
  <dcterms:modified xsi:type="dcterms:W3CDTF">2025-01-21T10:37:48Z</dcterms:modified>
</cp:coreProperties>
</file>