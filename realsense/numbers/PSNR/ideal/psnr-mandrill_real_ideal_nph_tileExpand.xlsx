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w11\EvacuatedStorage\observe-image\PSNR\ideal\"/>
    </mc:Choice>
  </mc:AlternateContent>
  <xr:revisionPtr revIDLastSave="0" documentId="13_ncr:1_{E7D4C924-E884-4BDD-A8A4-E58702E6B1B9}" xr6:coauthVersionLast="47" xr6:coauthVersionMax="47" xr10:uidLastSave="{00000000-0000-0000-0000-000000000000}"/>
  <bookViews>
    <workbookView xWindow="-110" yWindow="-110" windowWidth="38620" windowHeight="21100" xr2:uid="{F8221B24-CE8C-4284-B96B-48EDE3EFD3FB}"/>
  </bookViews>
  <sheets>
    <sheet name="psnr-mandrill_ideal_re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2" i="1" l="1"/>
  <c r="D22" i="1"/>
  <c r="E22" i="1"/>
  <c r="F22" i="1"/>
  <c r="G22" i="1"/>
  <c r="B2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256mm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'psnr-mandrill_ideal_real'!$A$2:$A$21</c:f>
              <c:numCache>
                <c:formatCode>General</c:formatCode>
                <c:ptCount val="2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20</c:v>
                </c:pt>
                <c:pt idx="8">
                  <c:v>24</c:v>
                </c:pt>
                <c:pt idx="9">
                  <c:v>25</c:v>
                </c:pt>
                <c:pt idx="10">
                  <c:v>30</c:v>
                </c:pt>
                <c:pt idx="11">
                  <c:v>40</c:v>
                </c:pt>
                <c:pt idx="12">
                  <c:v>50</c:v>
                </c:pt>
                <c:pt idx="13">
                  <c:v>60</c:v>
                </c:pt>
                <c:pt idx="14">
                  <c:v>75</c:v>
                </c:pt>
                <c:pt idx="15">
                  <c:v>100</c:v>
                </c:pt>
                <c:pt idx="16">
                  <c:v>120</c:v>
                </c:pt>
                <c:pt idx="17">
                  <c:v>125</c:v>
                </c:pt>
                <c:pt idx="18">
                  <c:v>150</c:v>
                </c:pt>
                <c:pt idx="19">
                  <c:v>200</c:v>
                </c:pt>
              </c:numCache>
            </c:numRef>
          </c:xVal>
          <c:yVal>
            <c:numRef>
              <c:f>'psnr-mandrill_ideal_real'!$B$2:$B$21</c:f>
              <c:numCache>
                <c:formatCode>General</c:formatCode>
                <c:ptCount val="20"/>
                <c:pt idx="0">
                  <c:v>16.566199999999998</c:v>
                </c:pt>
                <c:pt idx="1">
                  <c:v>17.257100000000001</c:v>
                </c:pt>
                <c:pt idx="2">
                  <c:v>15.9834</c:v>
                </c:pt>
                <c:pt idx="3">
                  <c:v>15.533799999999999</c:v>
                </c:pt>
                <c:pt idx="4">
                  <c:v>15.5846</c:v>
                </c:pt>
                <c:pt idx="5">
                  <c:v>17.341999999999999</c:v>
                </c:pt>
                <c:pt idx="6">
                  <c:v>19.264199999999999</c:v>
                </c:pt>
                <c:pt idx="7">
                  <c:v>19.453399999999998</c:v>
                </c:pt>
                <c:pt idx="8">
                  <c:v>20.495000000000001</c:v>
                </c:pt>
                <c:pt idx="9">
                  <c:v>20.738800000000001</c:v>
                </c:pt>
                <c:pt idx="10">
                  <c:v>22.6143</c:v>
                </c:pt>
                <c:pt idx="11">
                  <c:v>28.409400000000002</c:v>
                </c:pt>
                <c:pt idx="12">
                  <c:v>30.177499999999998</c:v>
                </c:pt>
                <c:pt idx="13">
                  <c:v>29.268699999999999</c:v>
                </c:pt>
                <c:pt idx="14">
                  <c:v>25.6629</c:v>
                </c:pt>
                <c:pt idx="15">
                  <c:v>22.065300000000001</c:v>
                </c:pt>
                <c:pt idx="16">
                  <c:v>21.307600000000001</c:v>
                </c:pt>
                <c:pt idx="17">
                  <c:v>19.5047</c:v>
                </c:pt>
                <c:pt idx="18">
                  <c:v>19.6328</c:v>
                </c:pt>
                <c:pt idx="19">
                  <c:v>17.953099999999999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3F-45AA-8887-92CF6B18A91D}"/>
            </c:ext>
          </c:extLst>
        </c:ser>
        <c:ser>
          <c:idx val="1"/>
          <c:order val="1"/>
          <c:tx>
            <c:v>1024mm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'psnr-mandrill_ideal_real'!$A$2:$A$21</c:f>
              <c:numCache>
                <c:formatCode>General</c:formatCode>
                <c:ptCount val="2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20</c:v>
                </c:pt>
                <c:pt idx="8">
                  <c:v>24</c:v>
                </c:pt>
                <c:pt idx="9">
                  <c:v>25</c:v>
                </c:pt>
                <c:pt idx="10">
                  <c:v>30</c:v>
                </c:pt>
                <c:pt idx="11">
                  <c:v>40</c:v>
                </c:pt>
                <c:pt idx="12">
                  <c:v>50</c:v>
                </c:pt>
                <c:pt idx="13">
                  <c:v>60</c:v>
                </c:pt>
                <c:pt idx="14">
                  <c:v>75</c:v>
                </c:pt>
                <c:pt idx="15">
                  <c:v>100</c:v>
                </c:pt>
                <c:pt idx="16">
                  <c:v>120</c:v>
                </c:pt>
                <c:pt idx="17">
                  <c:v>125</c:v>
                </c:pt>
                <c:pt idx="18">
                  <c:v>150</c:v>
                </c:pt>
                <c:pt idx="19">
                  <c:v>200</c:v>
                </c:pt>
              </c:numCache>
            </c:numRef>
          </c:xVal>
          <c:yVal>
            <c:numRef>
              <c:f>'psnr-mandrill_ideal_real'!$C$2:$C$21</c:f>
              <c:numCache>
                <c:formatCode>General</c:formatCode>
                <c:ptCount val="20"/>
                <c:pt idx="0">
                  <c:v>14.2102</c:v>
                </c:pt>
                <c:pt idx="1">
                  <c:v>13.9032</c:v>
                </c:pt>
                <c:pt idx="2">
                  <c:v>13.7719</c:v>
                </c:pt>
                <c:pt idx="3">
                  <c:v>16.510000000000002</c:v>
                </c:pt>
                <c:pt idx="4">
                  <c:v>17.036000000000001</c:v>
                </c:pt>
                <c:pt idx="5">
                  <c:v>17.152699999999999</c:v>
                </c:pt>
                <c:pt idx="6">
                  <c:v>18.575900000000001</c:v>
                </c:pt>
                <c:pt idx="7">
                  <c:v>20.717400000000001</c:v>
                </c:pt>
                <c:pt idx="8">
                  <c:v>22.922000000000001</c:v>
                </c:pt>
                <c:pt idx="9">
                  <c:v>24.124300000000002</c:v>
                </c:pt>
                <c:pt idx="10">
                  <c:v>26.3215</c:v>
                </c:pt>
                <c:pt idx="11">
                  <c:v>30.742799999999999</c:v>
                </c:pt>
                <c:pt idx="12">
                  <c:v>26.978300000000001</c:v>
                </c:pt>
                <c:pt idx="13">
                  <c:v>24.8903</c:v>
                </c:pt>
                <c:pt idx="14">
                  <c:v>21.901199999999999</c:v>
                </c:pt>
                <c:pt idx="15">
                  <c:v>19.875399999999999</c:v>
                </c:pt>
                <c:pt idx="16">
                  <c:v>19.022300000000001</c:v>
                </c:pt>
                <c:pt idx="17">
                  <c:v>17.727599999999999</c:v>
                </c:pt>
                <c:pt idx="18">
                  <c:v>18.0077</c:v>
                </c:pt>
                <c:pt idx="19">
                  <c:v>16.360499999999998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F3F-45AA-8887-92CF6B18A91D}"/>
            </c:ext>
          </c:extLst>
        </c:ser>
        <c:ser>
          <c:idx val="2"/>
          <c:order val="2"/>
          <c:tx>
            <c:v>1024mm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'psnr-mandrill_ideal_real'!$A$2:$A$21</c:f>
              <c:numCache>
                <c:formatCode>General</c:formatCode>
                <c:ptCount val="2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20</c:v>
                </c:pt>
                <c:pt idx="8">
                  <c:v>24</c:v>
                </c:pt>
                <c:pt idx="9">
                  <c:v>25</c:v>
                </c:pt>
                <c:pt idx="10">
                  <c:v>30</c:v>
                </c:pt>
                <c:pt idx="11">
                  <c:v>40</c:v>
                </c:pt>
                <c:pt idx="12">
                  <c:v>50</c:v>
                </c:pt>
                <c:pt idx="13">
                  <c:v>60</c:v>
                </c:pt>
                <c:pt idx="14">
                  <c:v>75</c:v>
                </c:pt>
                <c:pt idx="15">
                  <c:v>100</c:v>
                </c:pt>
                <c:pt idx="16">
                  <c:v>120</c:v>
                </c:pt>
                <c:pt idx="17">
                  <c:v>125</c:v>
                </c:pt>
                <c:pt idx="18">
                  <c:v>150</c:v>
                </c:pt>
                <c:pt idx="19">
                  <c:v>200</c:v>
                </c:pt>
              </c:numCache>
            </c:numRef>
          </c:xVal>
          <c:yVal>
            <c:numRef>
              <c:f>'psnr-mandrill_ideal_real'!$D$2:$D$21</c:f>
              <c:numCache>
                <c:formatCode>General</c:formatCode>
                <c:ptCount val="20"/>
                <c:pt idx="0">
                  <c:v>12.477</c:v>
                </c:pt>
                <c:pt idx="1">
                  <c:v>14.7784</c:v>
                </c:pt>
                <c:pt idx="2">
                  <c:v>16.3901</c:v>
                </c:pt>
                <c:pt idx="3">
                  <c:v>15.6553</c:v>
                </c:pt>
                <c:pt idx="4">
                  <c:v>17.065300000000001</c:v>
                </c:pt>
                <c:pt idx="5">
                  <c:v>17.792400000000001</c:v>
                </c:pt>
                <c:pt idx="6">
                  <c:v>20.082100000000001</c:v>
                </c:pt>
                <c:pt idx="7">
                  <c:v>23.131399999999999</c:v>
                </c:pt>
                <c:pt idx="8">
                  <c:v>25.3933</c:v>
                </c:pt>
                <c:pt idx="9">
                  <c:v>26.2879</c:v>
                </c:pt>
                <c:pt idx="10">
                  <c:v>29.784700000000001</c:v>
                </c:pt>
                <c:pt idx="11">
                  <c:v>27.4497</c:v>
                </c:pt>
                <c:pt idx="12">
                  <c:v>23.691500000000001</c:v>
                </c:pt>
                <c:pt idx="13">
                  <c:v>22.022300000000001</c:v>
                </c:pt>
                <c:pt idx="14">
                  <c:v>20.496400000000001</c:v>
                </c:pt>
                <c:pt idx="15">
                  <c:v>18.1647</c:v>
                </c:pt>
                <c:pt idx="16">
                  <c:v>17.615100000000002</c:v>
                </c:pt>
                <c:pt idx="17">
                  <c:v>16.682200000000002</c:v>
                </c:pt>
                <c:pt idx="18">
                  <c:v>16.707799999999999</c:v>
                </c:pt>
                <c:pt idx="19">
                  <c:v>14.8962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F3F-45AA-8887-92CF6B18A91D}"/>
            </c:ext>
          </c:extLst>
        </c:ser>
        <c:ser>
          <c:idx val="3"/>
          <c:order val="3"/>
          <c:tx>
            <c:v>2048mm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'psnr-mandrill_ideal_real'!$A$2:$A$21</c:f>
              <c:numCache>
                <c:formatCode>General</c:formatCode>
                <c:ptCount val="2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20</c:v>
                </c:pt>
                <c:pt idx="8">
                  <c:v>24</c:v>
                </c:pt>
                <c:pt idx="9">
                  <c:v>25</c:v>
                </c:pt>
                <c:pt idx="10">
                  <c:v>30</c:v>
                </c:pt>
                <c:pt idx="11">
                  <c:v>40</c:v>
                </c:pt>
                <c:pt idx="12">
                  <c:v>50</c:v>
                </c:pt>
                <c:pt idx="13">
                  <c:v>60</c:v>
                </c:pt>
                <c:pt idx="14">
                  <c:v>75</c:v>
                </c:pt>
                <c:pt idx="15">
                  <c:v>100</c:v>
                </c:pt>
                <c:pt idx="16">
                  <c:v>120</c:v>
                </c:pt>
                <c:pt idx="17">
                  <c:v>125</c:v>
                </c:pt>
                <c:pt idx="18">
                  <c:v>150</c:v>
                </c:pt>
                <c:pt idx="19">
                  <c:v>200</c:v>
                </c:pt>
              </c:numCache>
            </c:numRef>
          </c:xVal>
          <c:yVal>
            <c:numRef>
              <c:f>'psnr-mandrill_ideal_real'!$E$2:$E$21</c:f>
              <c:numCache>
                <c:formatCode>General</c:formatCode>
                <c:ptCount val="20"/>
                <c:pt idx="0">
                  <c:v>14.4818</c:v>
                </c:pt>
                <c:pt idx="1">
                  <c:v>14.951700000000001</c:v>
                </c:pt>
                <c:pt idx="2">
                  <c:v>14.7683</c:v>
                </c:pt>
                <c:pt idx="3">
                  <c:v>16.277200000000001</c:v>
                </c:pt>
                <c:pt idx="4">
                  <c:v>17.3322</c:v>
                </c:pt>
                <c:pt idx="5">
                  <c:v>18.967400000000001</c:v>
                </c:pt>
                <c:pt idx="6">
                  <c:v>20.511500000000002</c:v>
                </c:pt>
                <c:pt idx="7">
                  <c:v>22.378399999999999</c:v>
                </c:pt>
                <c:pt idx="8">
                  <c:v>27.487400000000001</c:v>
                </c:pt>
                <c:pt idx="9">
                  <c:v>28.232299999999999</c:v>
                </c:pt>
                <c:pt idx="10">
                  <c:v>28.737500000000001</c:v>
                </c:pt>
                <c:pt idx="11">
                  <c:v>24.860499999999998</c:v>
                </c:pt>
                <c:pt idx="12">
                  <c:v>22.029199999999999</c:v>
                </c:pt>
                <c:pt idx="13">
                  <c:v>20.557200000000002</c:v>
                </c:pt>
                <c:pt idx="14">
                  <c:v>19.476199999999999</c:v>
                </c:pt>
                <c:pt idx="15">
                  <c:v>17.0807</c:v>
                </c:pt>
                <c:pt idx="16">
                  <c:v>16.459299999999999</c:v>
                </c:pt>
                <c:pt idx="17">
                  <c:v>15.6243</c:v>
                </c:pt>
                <c:pt idx="18">
                  <c:v>15.4368</c:v>
                </c:pt>
                <c:pt idx="19">
                  <c:v>13.334300000000001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F3F-45AA-8887-92CF6B18A91D}"/>
            </c:ext>
          </c:extLst>
        </c:ser>
        <c:ser>
          <c:idx val="4"/>
          <c:order val="4"/>
          <c:tx>
            <c:v>4096mm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'psnr-mandrill_ideal_real'!$A$2:$A$21</c:f>
              <c:numCache>
                <c:formatCode>General</c:formatCode>
                <c:ptCount val="2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20</c:v>
                </c:pt>
                <c:pt idx="8">
                  <c:v>24</c:v>
                </c:pt>
                <c:pt idx="9">
                  <c:v>25</c:v>
                </c:pt>
                <c:pt idx="10">
                  <c:v>30</c:v>
                </c:pt>
                <c:pt idx="11">
                  <c:v>40</c:v>
                </c:pt>
                <c:pt idx="12">
                  <c:v>50</c:v>
                </c:pt>
                <c:pt idx="13">
                  <c:v>60</c:v>
                </c:pt>
                <c:pt idx="14">
                  <c:v>75</c:v>
                </c:pt>
                <c:pt idx="15">
                  <c:v>100</c:v>
                </c:pt>
                <c:pt idx="16">
                  <c:v>120</c:v>
                </c:pt>
                <c:pt idx="17">
                  <c:v>125</c:v>
                </c:pt>
                <c:pt idx="18">
                  <c:v>150</c:v>
                </c:pt>
                <c:pt idx="19">
                  <c:v>200</c:v>
                </c:pt>
              </c:numCache>
            </c:numRef>
          </c:xVal>
          <c:yVal>
            <c:numRef>
              <c:f>'psnr-mandrill_ideal_real'!$F$2:$F$21</c:f>
              <c:numCache>
                <c:formatCode>General</c:formatCode>
                <c:ptCount val="20"/>
                <c:pt idx="0">
                  <c:v>14.616400000000001</c:v>
                </c:pt>
                <c:pt idx="1">
                  <c:v>14.1381</c:v>
                </c:pt>
                <c:pt idx="2">
                  <c:v>15.26</c:v>
                </c:pt>
                <c:pt idx="3">
                  <c:v>16.085000000000001</c:v>
                </c:pt>
                <c:pt idx="4">
                  <c:v>18.005299999999998</c:v>
                </c:pt>
                <c:pt idx="5">
                  <c:v>19.359100000000002</c:v>
                </c:pt>
                <c:pt idx="6">
                  <c:v>21.94</c:v>
                </c:pt>
                <c:pt idx="7">
                  <c:v>27.018699999999999</c:v>
                </c:pt>
                <c:pt idx="8">
                  <c:v>29.842199999999998</c:v>
                </c:pt>
                <c:pt idx="9">
                  <c:v>29.855899999999998</c:v>
                </c:pt>
                <c:pt idx="10">
                  <c:v>27.6675</c:v>
                </c:pt>
                <c:pt idx="11">
                  <c:v>23.651599999999998</c:v>
                </c:pt>
                <c:pt idx="12">
                  <c:v>20.8508</c:v>
                </c:pt>
                <c:pt idx="13">
                  <c:v>20.261600000000001</c:v>
                </c:pt>
                <c:pt idx="14">
                  <c:v>18.244199999999999</c:v>
                </c:pt>
                <c:pt idx="15">
                  <c:v>16.397400000000001</c:v>
                </c:pt>
                <c:pt idx="16">
                  <c:v>17.086200000000002</c:v>
                </c:pt>
                <c:pt idx="17">
                  <c:v>15.0158</c:v>
                </c:pt>
                <c:pt idx="18">
                  <c:v>15.6959</c:v>
                </c:pt>
                <c:pt idx="19">
                  <c:v>12.3116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F3F-45AA-8887-92CF6B18A91D}"/>
            </c:ext>
          </c:extLst>
        </c:ser>
        <c:ser>
          <c:idx val="5"/>
          <c:order val="5"/>
          <c:tx>
            <c:v>8192mm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'psnr-mandrill_ideal_real'!$A$2:$A$21</c:f>
              <c:numCache>
                <c:formatCode>General</c:formatCode>
                <c:ptCount val="2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20</c:v>
                </c:pt>
                <c:pt idx="8">
                  <c:v>24</c:v>
                </c:pt>
                <c:pt idx="9">
                  <c:v>25</c:v>
                </c:pt>
                <c:pt idx="10">
                  <c:v>30</c:v>
                </c:pt>
                <c:pt idx="11">
                  <c:v>40</c:v>
                </c:pt>
                <c:pt idx="12">
                  <c:v>50</c:v>
                </c:pt>
                <c:pt idx="13">
                  <c:v>60</c:v>
                </c:pt>
                <c:pt idx="14">
                  <c:v>75</c:v>
                </c:pt>
                <c:pt idx="15">
                  <c:v>100</c:v>
                </c:pt>
                <c:pt idx="16">
                  <c:v>120</c:v>
                </c:pt>
                <c:pt idx="17">
                  <c:v>125</c:v>
                </c:pt>
                <c:pt idx="18">
                  <c:v>150</c:v>
                </c:pt>
                <c:pt idx="19">
                  <c:v>200</c:v>
                </c:pt>
              </c:numCache>
            </c:numRef>
          </c:xVal>
          <c:yVal>
            <c:numRef>
              <c:f>'psnr-mandrill_ideal_real'!$G$2:$G$21</c:f>
              <c:numCache>
                <c:formatCode>General</c:formatCode>
                <c:ptCount val="20"/>
                <c:pt idx="0">
                  <c:v>13.7949</c:v>
                </c:pt>
                <c:pt idx="1">
                  <c:v>14.1553</c:v>
                </c:pt>
                <c:pt idx="2">
                  <c:v>15.4177</c:v>
                </c:pt>
                <c:pt idx="3">
                  <c:v>17.044599999999999</c:v>
                </c:pt>
                <c:pt idx="4">
                  <c:v>18.587499999999999</c:v>
                </c:pt>
                <c:pt idx="5">
                  <c:v>19.449400000000001</c:v>
                </c:pt>
                <c:pt idx="6">
                  <c:v>21.506399999999999</c:v>
                </c:pt>
                <c:pt idx="7">
                  <c:v>26.0776</c:v>
                </c:pt>
                <c:pt idx="8">
                  <c:v>28.821300000000001</c:v>
                </c:pt>
                <c:pt idx="9">
                  <c:v>28.7593</c:v>
                </c:pt>
                <c:pt idx="10">
                  <c:v>26.550899999999999</c:v>
                </c:pt>
                <c:pt idx="11">
                  <c:v>22.861000000000001</c:v>
                </c:pt>
                <c:pt idx="12">
                  <c:v>20.956800000000001</c:v>
                </c:pt>
                <c:pt idx="13">
                  <c:v>19.2303</c:v>
                </c:pt>
                <c:pt idx="14">
                  <c:v>19.229600000000001</c:v>
                </c:pt>
                <c:pt idx="15">
                  <c:v>15.165699999999999</c:v>
                </c:pt>
                <c:pt idx="16">
                  <c:v>15.9855</c:v>
                </c:pt>
                <c:pt idx="17">
                  <c:v>16.224900000000002</c:v>
                </c:pt>
                <c:pt idx="18">
                  <c:v>16.548999999999999</c:v>
                </c:pt>
                <c:pt idx="19">
                  <c:v>11.786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F3F-45AA-8887-92CF6B18A91D}"/>
            </c:ext>
          </c:extLst>
        </c:ser>
        <c:ser>
          <c:idx val="6"/>
          <c:order val="6"/>
          <c:tx>
            <c:v>average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'psnr-mandrill_ideal_real'!$A$2:$A$21</c:f>
              <c:numCache>
                <c:formatCode>General</c:formatCode>
                <c:ptCount val="2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20</c:v>
                </c:pt>
                <c:pt idx="8">
                  <c:v>24</c:v>
                </c:pt>
                <c:pt idx="9">
                  <c:v>25</c:v>
                </c:pt>
                <c:pt idx="10">
                  <c:v>30</c:v>
                </c:pt>
                <c:pt idx="11">
                  <c:v>40</c:v>
                </c:pt>
                <c:pt idx="12">
                  <c:v>50</c:v>
                </c:pt>
                <c:pt idx="13">
                  <c:v>60</c:v>
                </c:pt>
                <c:pt idx="14">
                  <c:v>75</c:v>
                </c:pt>
                <c:pt idx="15">
                  <c:v>100</c:v>
                </c:pt>
                <c:pt idx="16">
                  <c:v>120</c:v>
                </c:pt>
                <c:pt idx="17">
                  <c:v>125</c:v>
                </c:pt>
                <c:pt idx="18">
                  <c:v>150</c:v>
                </c:pt>
                <c:pt idx="19">
                  <c:v>200</c:v>
                </c:pt>
              </c:numCache>
            </c:numRef>
          </c:xVal>
          <c:yVal>
            <c:numRef>
              <c:f>'psnr-mandrill_ideal_real'!$H$2:$H$21</c:f>
              <c:numCache>
                <c:formatCode>General</c:formatCode>
                <c:ptCount val="20"/>
                <c:pt idx="0">
                  <c:v>14.357750000000001</c:v>
                </c:pt>
                <c:pt idx="1">
                  <c:v>14.863966666666665</c:v>
                </c:pt>
                <c:pt idx="2">
                  <c:v>15.265233333333333</c:v>
                </c:pt>
                <c:pt idx="3">
                  <c:v>16.184316666666668</c:v>
                </c:pt>
                <c:pt idx="4">
                  <c:v>17.268483333333336</c:v>
                </c:pt>
                <c:pt idx="5">
                  <c:v>18.343833333333333</c:v>
                </c:pt>
                <c:pt idx="6">
                  <c:v>20.31335</c:v>
                </c:pt>
                <c:pt idx="7">
                  <c:v>23.129483333333329</c:v>
                </c:pt>
                <c:pt idx="8">
                  <c:v>25.826866666666664</c:v>
                </c:pt>
                <c:pt idx="9">
                  <c:v>26.333083333333335</c:v>
                </c:pt>
                <c:pt idx="10">
                  <c:v>26.946066666666667</c:v>
                </c:pt>
                <c:pt idx="11">
                  <c:v>26.329166666666666</c:v>
                </c:pt>
                <c:pt idx="12">
                  <c:v>24.114016666666668</c:v>
                </c:pt>
                <c:pt idx="13">
                  <c:v>22.705066666666664</c:v>
                </c:pt>
                <c:pt idx="14">
                  <c:v>20.835083333333333</c:v>
                </c:pt>
                <c:pt idx="15">
                  <c:v>18.124866666666669</c:v>
                </c:pt>
                <c:pt idx="16">
                  <c:v>17.91266666666667</c:v>
                </c:pt>
                <c:pt idx="17">
                  <c:v>16.796583333333334</c:v>
                </c:pt>
                <c:pt idx="18">
                  <c:v>17.004999999999999</c:v>
                </c:pt>
                <c:pt idx="19">
                  <c:v>14.440283333333333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6B-40DA-BAFA-FB37236F34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083023"/>
        <c:axId val="214073423"/>
      </c:scatterChart>
      <c:valAx>
        <c:axId val="21408302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number</a:t>
                </a:r>
                <a:r>
                  <a:rPr lang="en-US" altLang="ja-JP" sz="1200" baseline="0"/>
                  <a:t> of lenses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73423"/>
        <c:crosses val="autoZero"/>
        <c:crossBetween val="midCat"/>
      </c:valAx>
      <c:valAx>
        <c:axId val="21407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PSNR[dB]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830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"/>
          <c:y val="2.7777777777777776E-2"/>
          <c:w val="1"/>
          <c:h val="6.25004374453193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5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1B6961DD-9565-E96B-42B7-FD268715D6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10512-63FB-4319-992E-A5FCCE9FA93B}">
  <dimension ref="A1:H22"/>
  <sheetViews>
    <sheetView tabSelected="1" workbookViewId="0">
      <selection activeCell="G24" sqref="G24"/>
    </sheetView>
  </sheetViews>
  <sheetFormatPr defaultRowHeight="18" x14ac:dyDescent="0.55000000000000004"/>
  <sheetData>
    <row r="1" spans="1:8" x14ac:dyDescent="0.55000000000000004">
      <c r="B1">
        <v>256</v>
      </c>
      <c r="C1">
        <v>512</v>
      </c>
      <c r="D1">
        <v>1024</v>
      </c>
      <c r="E1">
        <v>2048</v>
      </c>
      <c r="F1">
        <v>4096</v>
      </c>
      <c r="G1">
        <v>8192</v>
      </c>
    </row>
    <row r="2" spans="1:8" x14ac:dyDescent="0.55000000000000004">
      <c r="A2">
        <v>4</v>
      </c>
      <c r="B2">
        <v>16.566199999999998</v>
      </c>
      <c r="C2">
        <v>14.2102</v>
      </c>
      <c r="D2">
        <v>12.477</v>
      </c>
      <c r="E2">
        <v>14.4818</v>
      </c>
      <c r="F2">
        <v>14.616400000000001</v>
      </c>
      <c r="G2">
        <v>13.7949</v>
      </c>
      <c r="H2">
        <f>AVERAGE(B2:G2)</f>
        <v>14.357750000000001</v>
      </c>
    </row>
    <row r="3" spans="1:8" x14ac:dyDescent="0.55000000000000004">
      <c r="A3">
        <v>5</v>
      </c>
      <c r="B3">
        <v>17.257100000000001</v>
      </c>
      <c r="C3">
        <v>13.9032</v>
      </c>
      <c r="D3">
        <v>14.7784</v>
      </c>
      <c r="E3">
        <v>14.951700000000001</v>
      </c>
      <c r="F3">
        <v>14.1381</v>
      </c>
      <c r="G3">
        <v>14.1553</v>
      </c>
      <c r="H3">
        <f t="shared" ref="H3:H21" si="0">AVERAGE(B3:G3)</f>
        <v>14.863966666666665</v>
      </c>
    </row>
    <row r="4" spans="1:8" x14ac:dyDescent="0.55000000000000004">
      <c r="A4">
        <v>6</v>
      </c>
      <c r="B4">
        <v>15.9834</v>
      </c>
      <c r="C4">
        <v>13.7719</v>
      </c>
      <c r="D4">
        <v>16.3901</v>
      </c>
      <c r="E4">
        <v>14.7683</v>
      </c>
      <c r="F4">
        <v>15.26</v>
      </c>
      <c r="G4">
        <v>15.4177</v>
      </c>
      <c r="H4">
        <f t="shared" si="0"/>
        <v>15.265233333333333</v>
      </c>
    </row>
    <row r="5" spans="1:8" x14ac:dyDescent="0.55000000000000004">
      <c r="A5">
        <v>8</v>
      </c>
      <c r="B5">
        <v>15.533799999999999</v>
      </c>
      <c r="C5">
        <v>16.510000000000002</v>
      </c>
      <c r="D5">
        <v>15.6553</v>
      </c>
      <c r="E5">
        <v>16.277200000000001</v>
      </c>
      <c r="F5">
        <v>16.085000000000001</v>
      </c>
      <c r="G5">
        <v>17.044599999999999</v>
      </c>
      <c r="H5">
        <f t="shared" si="0"/>
        <v>16.184316666666668</v>
      </c>
    </row>
    <row r="6" spans="1:8" x14ac:dyDescent="0.55000000000000004">
      <c r="A6">
        <v>10</v>
      </c>
      <c r="B6">
        <v>15.5846</v>
      </c>
      <c r="C6">
        <v>17.036000000000001</v>
      </c>
      <c r="D6">
        <v>17.065300000000001</v>
      </c>
      <c r="E6">
        <v>17.3322</v>
      </c>
      <c r="F6">
        <v>18.005299999999998</v>
      </c>
      <c r="G6">
        <v>18.587499999999999</v>
      </c>
      <c r="H6">
        <f t="shared" si="0"/>
        <v>17.268483333333336</v>
      </c>
    </row>
    <row r="7" spans="1:8" x14ac:dyDescent="0.55000000000000004">
      <c r="A7">
        <v>12</v>
      </c>
      <c r="B7">
        <v>17.341999999999999</v>
      </c>
      <c r="C7">
        <v>17.152699999999999</v>
      </c>
      <c r="D7">
        <v>17.792400000000001</v>
      </c>
      <c r="E7">
        <v>18.967400000000001</v>
      </c>
      <c r="F7">
        <v>19.359100000000002</v>
      </c>
      <c r="G7">
        <v>19.449400000000001</v>
      </c>
      <c r="H7">
        <f t="shared" si="0"/>
        <v>18.343833333333333</v>
      </c>
    </row>
    <row r="8" spans="1:8" x14ac:dyDescent="0.55000000000000004">
      <c r="A8">
        <v>15</v>
      </c>
      <c r="B8">
        <v>19.264199999999999</v>
      </c>
      <c r="C8">
        <v>18.575900000000001</v>
      </c>
      <c r="D8">
        <v>20.082100000000001</v>
      </c>
      <c r="E8">
        <v>20.511500000000002</v>
      </c>
      <c r="F8">
        <v>21.94</v>
      </c>
      <c r="G8">
        <v>21.506399999999999</v>
      </c>
      <c r="H8">
        <f t="shared" si="0"/>
        <v>20.31335</v>
      </c>
    </row>
    <row r="9" spans="1:8" x14ac:dyDescent="0.55000000000000004">
      <c r="A9">
        <v>20</v>
      </c>
      <c r="B9">
        <v>19.453399999999998</v>
      </c>
      <c r="C9">
        <v>20.717400000000001</v>
      </c>
      <c r="D9">
        <v>23.131399999999999</v>
      </c>
      <c r="E9">
        <v>22.378399999999999</v>
      </c>
      <c r="F9">
        <v>27.018699999999999</v>
      </c>
      <c r="G9">
        <v>26.0776</v>
      </c>
      <c r="H9">
        <f t="shared" si="0"/>
        <v>23.129483333333329</v>
      </c>
    </row>
    <row r="10" spans="1:8" x14ac:dyDescent="0.55000000000000004">
      <c r="A10">
        <v>24</v>
      </c>
      <c r="B10">
        <v>20.495000000000001</v>
      </c>
      <c r="C10">
        <v>22.922000000000001</v>
      </c>
      <c r="D10">
        <v>25.3933</v>
      </c>
      <c r="E10">
        <v>27.487400000000001</v>
      </c>
      <c r="F10">
        <v>29.842199999999998</v>
      </c>
      <c r="G10">
        <v>28.821300000000001</v>
      </c>
      <c r="H10">
        <f t="shared" si="0"/>
        <v>25.826866666666664</v>
      </c>
    </row>
    <row r="11" spans="1:8" x14ac:dyDescent="0.55000000000000004">
      <c r="A11">
        <v>25</v>
      </c>
      <c r="B11">
        <v>20.738800000000001</v>
      </c>
      <c r="C11">
        <v>24.124300000000002</v>
      </c>
      <c r="D11">
        <v>26.2879</v>
      </c>
      <c r="E11">
        <v>28.232299999999999</v>
      </c>
      <c r="F11">
        <v>29.855899999999998</v>
      </c>
      <c r="G11">
        <v>28.7593</v>
      </c>
      <c r="H11">
        <f t="shared" si="0"/>
        <v>26.333083333333335</v>
      </c>
    </row>
    <row r="12" spans="1:8" x14ac:dyDescent="0.55000000000000004">
      <c r="A12">
        <v>30</v>
      </c>
      <c r="B12">
        <v>22.6143</v>
      </c>
      <c r="C12">
        <v>26.3215</v>
      </c>
      <c r="D12">
        <v>29.784700000000001</v>
      </c>
      <c r="E12">
        <v>28.737500000000001</v>
      </c>
      <c r="F12">
        <v>27.6675</v>
      </c>
      <c r="G12">
        <v>26.550899999999999</v>
      </c>
      <c r="H12">
        <f t="shared" si="0"/>
        <v>26.946066666666667</v>
      </c>
    </row>
    <row r="13" spans="1:8" x14ac:dyDescent="0.55000000000000004">
      <c r="A13">
        <v>40</v>
      </c>
      <c r="B13">
        <v>28.409400000000002</v>
      </c>
      <c r="C13">
        <v>30.742799999999999</v>
      </c>
      <c r="D13">
        <v>27.4497</v>
      </c>
      <c r="E13">
        <v>24.860499999999998</v>
      </c>
      <c r="F13">
        <v>23.651599999999998</v>
      </c>
      <c r="G13">
        <v>22.861000000000001</v>
      </c>
      <c r="H13">
        <f t="shared" si="0"/>
        <v>26.329166666666666</v>
      </c>
    </row>
    <row r="14" spans="1:8" x14ac:dyDescent="0.55000000000000004">
      <c r="A14">
        <v>50</v>
      </c>
      <c r="B14">
        <v>30.177499999999998</v>
      </c>
      <c r="C14">
        <v>26.978300000000001</v>
      </c>
      <c r="D14">
        <v>23.691500000000001</v>
      </c>
      <c r="E14">
        <v>22.029199999999999</v>
      </c>
      <c r="F14">
        <v>20.8508</v>
      </c>
      <c r="G14">
        <v>20.956800000000001</v>
      </c>
      <c r="H14">
        <f t="shared" si="0"/>
        <v>24.114016666666668</v>
      </c>
    </row>
    <row r="15" spans="1:8" x14ac:dyDescent="0.55000000000000004">
      <c r="A15">
        <v>60</v>
      </c>
      <c r="B15">
        <v>29.268699999999999</v>
      </c>
      <c r="C15">
        <v>24.8903</v>
      </c>
      <c r="D15">
        <v>22.022300000000001</v>
      </c>
      <c r="E15">
        <v>20.557200000000002</v>
      </c>
      <c r="F15">
        <v>20.261600000000001</v>
      </c>
      <c r="G15">
        <v>19.2303</v>
      </c>
      <c r="H15">
        <f t="shared" si="0"/>
        <v>22.705066666666664</v>
      </c>
    </row>
    <row r="16" spans="1:8" x14ac:dyDescent="0.55000000000000004">
      <c r="A16">
        <v>75</v>
      </c>
      <c r="B16">
        <v>25.6629</v>
      </c>
      <c r="C16">
        <v>21.901199999999999</v>
      </c>
      <c r="D16">
        <v>20.496400000000001</v>
      </c>
      <c r="E16">
        <v>19.476199999999999</v>
      </c>
      <c r="F16">
        <v>18.244199999999999</v>
      </c>
      <c r="G16">
        <v>19.229600000000001</v>
      </c>
      <c r="H16">
        <f t="shared" si="0"/>
        <v>20.835083333333333</v>
      </c>
    </row>
    <row r="17" spans="1:8" x14ac:dyDescent="0.55000000000000004">
      <c r="A17">
        <v>100</v>
      </c>
      <c r="B17">
        <v>22.065300000000001</v>
      </c>
      <c r="C17">
        <v>19.875399999999999</v>
      </c>
      <c r="D17">
        <v>18.1647</v>
      </c>
      <c r="E17">
        <v>17.0807</v>
      </c>
      <c r="F17">
        <v>16.397400000000001</v>
      </c>
      <c r="G17">
        <v>15.165699999999999</v>
      </c>
      <c r="H17">
        <f t="shared" si="0"/>
        <v>18.124866666666669</v>
      </c>
    </row>
    <row r="18" spans="1:8" x14ac:dyDescent="0.55000000000000004">
      <c r="A18">
        <v>120</v>
      </c>
      <c r="B18">
        <v>21.307600000000001</v>
      </c>
      <c r="C18">
        <v>19.022300000000001</v>
      </c>
      <c r="D18">
        <v>17.615100000000002</v>
      </c>
      <c r="E18">
        <v>16.459299999999999</v>
      </c>
      <c r="F18">
        <v>17.086200000000002</v>
      </c>
      <c r="G18">
        <v>15.9855</v>
      </c>
      <c r="H18">
        <f t="shared" si="0"/>
        <v>17.91266666666667</v>
      </c>
    </row>
    <row r="19" spans="1:8" x14ac:dyDescent="0.55000000000000004">
      <c r="A19">
        <v>125</v>
      </c>
      <c r="B19">
        <v>19.5047</v>
      </c>
      <c r="C19">
        <v>17.727599999999999</v>
      </c>
      <c r="D19">
        <v>16.682200000000002</v>
      </c>
      <c r="E19">
        <v>15.6243</v>
      </c>
      <c r="F19">
        <v>15.0158</v>
      </c>
      <c r="G19">
        <v>16.224900000000002</v>
      </c>
      <c r="H19">
        <f t="shared" si="0"/>
        <v>16.796583333333334</v>
      </c>
    </row>
    <row r="20" spans="1:8" x14ac:dyDescent="0.55000000000000004">
      <c r="A20">
        <v>150</v>
      </c>
      <c r="B20">
        <v>19.6328</v>
      </c>
      <c r="C20">
        <v>18.0077</v>
      </c>
      <c r="D20">
        <v>16.707799999999999</v>
      </c>
      <c r="E20">
        <v>15.4368</v>
      </c>
      <c r="F20">
        <v>15.6959</v>
      </c>
      <c r="G20">
        <v>16.548999999999999</v>
      </c>
      <c r="H20">
        <f t="shared" si="0"/>
        <v>17.004999999999999</v>
      </c>
    </row>
    <row r="21" spans="1:8" x14ac:dyDescent="0.55000000000000004">
      <c r="A21">
        <v>200</v>
      </c>
      <c r="B21">
        <v>17.953099999999999</v>
      </c>
      <c r="C21">
        <v>16.360499999999998</v>
      </c>
      <c r="D21">
        <v>14.8962</v>
      </c>
      <c r="E21">
        <v>13.334300000000001</v>
      </c>
      <c r="F21">
        <v>12.3116</v>
      </c>
      <c r="G21">
        <v>11.786</v>
      </c>
      <c r="H21">
        <f t="shared" si="0"/>
        <v>14.440283333333333</v>
      </c>
    </row>
    <row r="22" spans="1:8" x14ac:dyDescent="0.55000000000000004">
      <c r="B22">
        <f>AVERAGE(B2:B21)</f>
        <v>20.740739999999999</v>
      </c>
      <c r="C22">
        <f t="shared" ref="C22:G22" si="1">AVERAGE(C2:C21)</f>
        <v>20.037560000000006</v>
      </c>
      <c r="D22">
        <f t="shared" si="1"/>
        <v>19.828189999999999</v>
      </c>
      <c r="E22">
        <f t="shared" si="1"/>
        <v>19.449210000000001</v>
      </c>
      <c r="F22">
        <f t="shared" si="1"/>
        <v>19.665164999999995</v>
      </c>
      <c r="G22">
        <f t="shared" si="1"/>
        <v>19.407684999999997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psnr-mandrill_ideal_real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渡辺哲生</dc:creator>
  <cp:lastModifiedBy>哲生 渡辺</cp:lastModifiedBy>
  <dcterms:created xsi:type="dcterms:W3CDTF">2025-01-19T22:30:29Z</dcterms:created>
  <dcterms:modified xsi:type="dcterms:W3CDTF">2025-01-23T08:50:03Z</dcterms:modified>
</cp:coreProperties>
</file>