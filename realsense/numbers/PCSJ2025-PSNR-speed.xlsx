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al\source\repos\At-oZ\realsense\realsense\numbers\"/>
    </mc:Choice>
  </mc:AlternateContent>
  <xr:revisionPtr revIDLastSave="0" documentId="13_ncr:1_{19E8FB19-E200-4AA6-9986-5A5618C0F8BB}" xr6:coauthVersionLast="47" xr6:coauthVersionMax="47" xr10:uidLastSave="{00000000-0000-0000-0000-000000000000}"/>
  <bookViews>
    <workbookView xWindow="-110" yWindow="-110" windowWidth="38620" windowHeight="21100" xr2:uid="{E0F771F9-A850-481F-BAB6-13BF0605585F}"/>
  </bookViews>
  <sheets>
    <sheet name="PSNR" sheetId="1" r:id="rId1"/>
    <sheet name="spe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2" l="1"/>
  <c r="L21" i="2"/>
  <c r="K21" i="2"/>
  <c r="J21" i="2"/>
  <c r="I21" i="2"/>
  <c r="M20" i="2"/>
  <c r="M19" i="2"/>
  <c r="M18" i="2"/>
  <c r="M17" i="2"/>
  <c r="M16" i="2"/>
  <c r="M15" i="2"/>
  <c r="M14" i="2"/>
  <c r="M13" i="2"/>
  <c r="F25" i="2"/>
  <c r="F24" i="2"/>
  <c r="F32" i="2"/>
  <c r="E32" i="2"/>
  <c r="D32" i="2"/>
  <c r="C32" i="2"/>
  <c r="B32" i="2"/>
  <c r="F31" i="2"/>
  <c r="F30" i="2"/>
  <c r="F29" i="2"/>
  <c r="F28" i="2"/>
  <c r="F27" i="2"/>
  <c r="F26" i="2"/>
  <c r="F21" i="2"/>
  <c r="E21" i="2"/>
  <c r="D21" i="2"/>
  <c r="C21" i="2"/>
  <c r="B21" i="2"/>
  <c r="F20" i="2"/>
  <c r="F19" i="2"/>
  <c r="F18" i="2"/>
  <c r="F17" i="2"/>
  <c r="F16" i="2"/>
  <c r="F15" i="2"/>
  <c r="F14" i="2"/>
  <c r="F13" i="2"/>
  <c r="F10" i="2"/>
  <c r="E10" i="2"/>
  <c r="D10" i="2"/>
  <c r="C10" i="2"/>
  <c r="B10" i="2"/>
  <c r="F9" i="2"/>
  <c r="F8" i="2"/>
  <c r="F7" i="2"/>
  <c r="F6" i="2"/>
  <c r="F5" i="2"/>
  <c r="F4" i="2"/>
  <c r="F3" i="2"/>
  <c r="F2" i="2"/>
  <c r="C20" i="1"/>
  <c r="D20" i="1"/>
  <c r="E20" i="1"/>
  <c r="B20" i="1"/>
  <c r="F13" i="1"/>
  <c r="F14" i="1"/>
  <c r="F15" i="1"/>
  <c r="F16" i="1"/>
  <c r="F17" i="1"/>
  <c r="F18" i="1"/>
  <c r="F19" i="1"/>
  <c r="F12" i="1"/>
  <c r="F3" i="1"/>
  <c r="F4" i="1"/>
  <c r="F5" i="1"/>
  <c r="F6" i="1"/>
  <c r="F7" i="1"/>
  <c r="F8" i="1"/>
  <c r="F9" i="1"/>
  <c r="F2" i="1"/>
  <c r="C10" i="1"/>
  <c r="D10" i="1"/>
  <c r="E10" i="1"/>
  <c r="B10" i="1"/>
  <c r="F20" i="1"/>
  <c r="F10" i="1"/>
</calcChain>
</file>

<file path=xl/sharedStrings.xml><?xml version="1.0" encoding="utf-8"?>
<sst xmlns="http://schemas.openxmlformats.org/spreadsheetml/2006/main" count="37" uniqueCount="11">
  <si>
    <t>prop</t>
    <phoneticPr fontId="1"/>
  </si>
  <si>
    <t>mandrill</t>
    <phoneticPr fontId="1"/>
  </si>
  <si>
    <t>milkdrop</t>
    <phoneticPr fontId="1"/>
  </si>
  <si>
    <t>parrots</t>
    <phoneticPr fontId="1"/>
  </si>
  <si>
    <t>pepper</t>
    <phoneticPr fontId="1"/>
  </si>
  <si>
    <t>OpenGL</t>
    <phoneticPr fontId="1"/>
  </si>
  <si>
    <t>OpenGL(GPU)</t>
    <phoneticPr fontId="1"/>
  </si>
  <si>
    <t>OpenGL(CPU)</t>
    <phoneticPr fontId="1"/>
  </si>
  <si>
    <t>PSNR</t>
    <phoneticPr fontId="1"/>
  </si>
  <si>
    <t>time</t>
    <phoneticPr fontId="1"/>
  </si>
  <si>
    <t>OpenGL(GPU)2回目</t>
    <rPh sb="12" eb="14">
      <t>カイメ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</si>
</sst>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90793650793651"/>
          <c:y val="4.5645679012345682E-2"/>
          <c:w val="0.86049417989417998"/>
          <c:h val="0.7348675925925926"/>
        </c:manualLayout>
      </c:layout>
      <c:scatterChart>
        <c:scatterStyle val="lineMarker"/>
        <c:varyColors val="0"/>
        <c:ser>
          <c:idx val="0"/>
          <c:order val="0"/>
          <c:tx>
            <c:v>従来手法:CPU</c:v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PSNR!$H$2:$H$9</c:f>
              <c:numCache>
                <c:formatCode>General</c:formatCode>
                <c:ptCount val="8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</c:numCache>
            </c:numRef>
          </c:xVal>
          <c:yVal>
            <c:numRef>
              <c:f>PSNR!$I$2:$I$9</c:f>
              <c:numCache>
                <c:formatCode>General</c:formatCode>
                <c:ptCount val="8"/>
                <c:pt idx="0">
                  <c:v>31.879700000000003</c:v>
                </c:pt>
                <c:pt idx="1">
                  <c:v>30.599350000000001</c:v>
                </c:pt>
                <c:pt idx="2">
                  <c:v>31.752699999999997</c:v>
                </c:pt>
                <c:pt idx="3">
                  <c:v>29.081725000000002</c:v>
                </c:pt>
                <c:pt idx="4">
                  <c:v>27.755599999999998</c:v>
                </c:pt>
                <c:pt idx="5">
                  <c:v>28.549599999999998</c:v>
                </c:pt>
                <c:pt idx="6">
                  <c:v>23.403449999999999</c:v>
                </c:pt>
                <c:pt idx="7">
                  <c:v>28.263449999999999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FE-4F5F-B0B7-1D3C61947ACB}"/>
            </c:ext>
          </c:extLst>
        </c:ser>
        <c:ser>
          <c:idx val="1"/>
          <c:order val="1"/>
          <c:tx>
            <c:v>OpenGL:GPU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PSNR!$H$2:$H$9</c:f>
              <c:numCache>
                <c:formatCode>General</c:formatCode>
                <c:ptCount val="8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</c:numCache>
            </c:numRef>
          </c:xVal>
          <c:yVal>
            <c:numRef>
              <c:f>PSNR!$J$2:$J$9</c:f>
              <c:numCache>
                <c:formatCode>General</c:formatCode>
                <c:ptCount val="8"/>
                <c:pt idx="0">
                  <c:v>32.331600000000002</c:v>
                </c:pt>
                <c:pt idx="1">
                  <c:v>31.475550000000002</c:v>
                </c:pt>
                <c:pt idx="2">
                  <c:v>31.834699999999998</c:v>
                </c:pt>
                <c:pt idx="3">
                  <c:v>30.165199999999999</c:v>
                </c:pt>
                <c:pt idx="4">
                  <c:v>27.965500000000002</c:v>
                </c:pt>
                <c:pt idx="5">
                  <c:v>28.909199999999998</c:v>
                </c:pt>
                <c:pt idx="6">
                  <c:v>23.5014</c:v>
                </c:pt>
                <c:pt idx="7">
                  <c:v>28.277549999999998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FE-4F5F-B0B7-1D3C61947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680415"/>
        <c:axId val="484678495"/>
      </c:scatterChart>
      <c:valAx>
        <c:axId val="484680415"/>
        <c:scaling>
          <c:orientation val="minMax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游明朝 Demibold" panose="02020600000000000000" pitchFamily="18" charset="-128"/>
                    <a:cs typeface="Times New Roman" panose="02020603050405020304" pitchFamily="18" charset="0"/>
                  </a:defRPr>
                </a:pPr>
                <a:r>
                  <a:rPr lang="ja-JP"/>
                  <a:t>被写体距離</a:t>
                </a:r>
                <a:r>
                  <a:rPr lang="en-US"/>
                  <a:t>[mm]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2927899305555556"/>
              <c:y val="0.886033024691358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游明朝 Demibold" panose="02020600000000000000" pitchFamily="18" charset="-128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游明朝 Demibold" panose="02020600000000000000" pitchFamily="18" charset="-128"/>
                <a:cs typeface="Times New Roman" panose="02020603050405020304" pitchFamily="18" charset="0"/>
              </a:defRPr>
            </a:pPr>
            <a:endParaRPr lang="ja-JP"/>
          </a:p>
        </c:txPr>
        <c:crossAx val="484678495"/>
        <c:crosses val="autoZero"/>
        <c:crossBetween val="midCat"/>
      </c:valAx>
      <c:valAx>
        <c:axId val="484678495"/>
        <c:scaling>
          <c:orientation val="minMax"/>
          <c:max val="36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游明朝 Demibold" panose="02020600000000000000" pitchFamily="18" charset="-128"/>
                    <a:cs typeface="Times New Roman" panose="02020603050405020304" pitchFamily="18" charset="0"/>
                  </a:defRPr>
                </a:pPr>
                <a:r>
                  <a:rPr lang="en-US"/>
                  <a:t>PSNR[dB]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1.5434027777777777E-2"/>
              <c:y val="0.299377160493827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游明朝 Demibold" panose="02020600000000000000" pitchFamily="18" charset="-128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游明朝 Demibold" panose="02020600000000000000" pitchFamily="18" charset="-128"/>
                <a:cs typeface="Times New Roman" panose="02020603050405020304" pitchFamily="18" charset="0"/>
              </a:defRPr>
            </a:pPr>
            <a:endParaRPr lang="ja-JP"/>
          </a:p>
        </c:txPr>
        <c:crossAx val="484680415"/>
        <c:crosses val="autoZero"/>
        <c:crossBetween val="midCat"/>
        <c:majorUnit val="2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7982884615384618"/>
          <c:y val="6.4291666666666678E-2"/>
          <c:w val="0.18142857142857144"/>
          <c:h val="0.16737283950617285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游明朝 Demibold" panose="02020600000000000000" pitchFamily="18" charset="-128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>
          <a:latin typeface="Times New Roman" panose="02020603050405020304" pitchFamily="18" charset="0"/>
          <a:ea typeface="游明朝 Demibold" panose="02020600000000000000" pitchFamily="18" charset="-128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90793650793651"/>
          <c:y val="4.5645679012345682E-2"/>
          <c:w val="0.86049417989417987"/>
          <c:h val="0.7348675925925926"/>
        </c:manualLayout>
      </c:layout>
      <c:scatterChart>
        <c:scatterStyle val="lineMarker"/>
        <c:varyColors val="0"/>
        <c:ser>
          <c:idx val="0"/>
          <c:order val="0"/>
          <c:tx>
            <c:v>従来手法:CPU</c:v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PSNR!$H$12:$H$19</c:f>
              <c:numCache>
                <c:formatCode>General</c:formatCode>
                <c:ptCount val="8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</c:numCache>
            </c:numRef>
          </c:xVal>
          <c:yVal>
            <c:numRef>
              <c:f>PSNR!$I$12:$I$19</c:f>
              <c:numCache>
                <c:formatCode>General</c:formatCode>
                <c:ptCount val="8"/>
                <c:pt idx="0">
                  <c:v>167.5</c:v>
                </c:pt>
                <c:pt idx="1">
                  <c:v>176.10000000000002</c:v>
                </c:pt>
                <c:pt idx="2">
                  <c:v>178.55</c:v>
                </c:pt>
                <c:pt idx="3">
                  <c:v>184.42500000000001</c:v>
                </c:pt>
                <c:pt idx="4">
                  <c:v>186.32499999999999</c:v>
                </c:pt>
                <c:pt idx="5">
                  <c:v>188.125</c:v>
                </c:pt>
                <c:pt idx="6">
                  <c:v>191.82500000000002</c:v>
                </c:pt>
                <c:pt idx="7">
                  <c:v>196.97499999999999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8F-4538-92E1-89557AC41E78}"/>
            </c:ext>
          </c:extLst>
        </c:ser>
        <c:ser>
          <c:idx val="2"/>
          <c:order val="2"/>
          <c:tx>
            <c:v>OpenGL:GPU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PSNR!$H$12:$H$19</c:f>
              <c:numCache>
                <c:formatCode>General</c:formatCode>
                <c:ptCount val="8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</c:numCache>
            </c:numRef>
          </c:xVal>
          <c:yVal>
            <c:numRef>
              <c:f>PSNR!$J$12:$J$19</c:f>
              <c:numCache>
                <c:formatCode>General</c:formatCode>
                <c:ptCount val="8"/>
                <c:pt idx="0">
                  <c:v>46.582499999999996</c:v>
                </c:pt>
                <c:pt idx="1">
                  <c:v>47.072499999999998</c:v>
                </c:pt>
                <c:pt idx="2">
                  <c:v>46.645000000000003</c:v>
                </c:pt>
                <c:pt idx="3">
                  <c:v>46.664999999999992</c:v>
                </c:pt>
                <c:pt idx="4">
                  <c:v>46.877499999999998</c:v>
                </c:pt>
                <c:pt idx="5">
                  <c:v>47.227499999999999</c:v>
                </c:pt>
                <c:pt idx="6">
                  <c:v>47.067499999999995</c:v>
                </c:pt>
                <c:pt idx="7">
                  <c:v>46.575000000000003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8F-4538-92E1-89557AC41E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680415"/>
        <c:axId val="4846784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solidFill>
                      <a:schemeClr val="tx2">
                        <a:lumMod val="75000"/>
                        <a:lumOff val="2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PSNR!$H$12:$H$19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300</c:v>
                      </c:pt>
                      <c:pt idx="1">
                        <c:v>400</c:v>
                      </c:pt>
                      <c:pt idx="2">
                        <c:v>500</c:v>
                      </c:pt>
                      <c:pt idx="3">
                        <c:v>600</c:v>
                      </c:pt>
                      <c:pt idx="4">
                        <c:v>700</c:v>
                      </c:pt>
                      <c:pt idx="5">
                        <c:v>800</c:v>
                      </c:pt>
                      <c:pt idx="6">
                        <c:v>900</c:v>
                      </c:pt>
                      <c:pt idx="7">
                        <c:v>1000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PSNR!$K$12:$K$19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826.99499999999989</c:v>
                      </c:pt>
                      <c:pt idx="1">
                        <c:v>912.59750000000008</c:v>
                      </c:pt>
                      <c:pt idx="2">
                        <c:v>1000.5725</c:v>
                      </c:pt>
                      <c:pt idx="3">
                        <c:v>1030.9325000000001</c:v>
                      </c:pt>
                      <c:pt idx="4">
                        <c:v>1073.1374999999998</c:v>
                      </c:pt>
                      <c:pt idx="5">
                        <c:v>1067.19</c:v>
                      </c:pt>
                      <c:pt idx="6">
                        <c:v>1150.8575000000001</c:v>
                      </c:pt>
                      <c:pt idx="7">
                        <c:v>1146.6324999999999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948F-4538-92E1-89557AC41E78}"/>
                  </c:ext>
                </c:extLst>
              </c15:ser>
            </c15:filteredScatterSeries>
          </c:ext>
        </c:extLst>
      </c:scatterChart>
      <c:valAx>
        <c:axId val="484680415"/>
        <c:scaling>
          <c:orientation val="minMax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游明朝 Demibold" panose="02020600000000000000" pitchFamily="18" charset="-128"/>
                    <a:cs typeface="Times New Roman" panose="02020603050405020304" pitchFamily="18" charset="0"/>
                  </a:defRPr>
                </a:pPr>
                <a:r>
                  <a:rPr lang="ja-JP"/>
                  <a:t>被写体距離</a:t>
                </a:r>
                <a:r>
                  <a:rPr lang="en-US"/>
                  <a:t>[mm]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2927899305555556"/>
              <c:y val="0.886033024691358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游明朝 Demibold" panose="02020600000000000000" pitchFamily="18" charset="-128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游明朝 Demibold" panose="02020600000000000000" pitchFamily="18" charset="-128"/>
                <a:cs typeface="Times New Roman" panose="02020603050405020304" pitchFamily="18" charset="0"/>
              </a:defRPr>
            </a:pPr>
            <a:endParaRPr lang="ja-JP"/>
          </a:p>
        </c:txPr>
        <c:crossAx val="484678495"/>
        <c:crosses val="autoZero"/>
        <c:crossBetween val="midCat"/>
      </c:valAx>
      <c:valAx>
        <c:axId val="484678495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游明朝 Demibold" panose="02020600000000000000" pitchFamily="18" charset="-128"/>
                    <a:cs typeface="Times New Roman" panose="02020603050405020304" pitchFamily="18" charset="0"/>
                  </a:defRPr>
                </a:pPr>
                <a:r>
                  <a:rPr lang="ja-JP"/>
                  <a:t>処理時間</a:t>
                </a:r>
                <a:r>
                  <a:rPr lang="en-US"/>
                  <a:t>[ms]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299377160493827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游明朝 Demibold" panose="02020600000000000000" pitchFamily="18" charset="-128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游明朝 Demibold" panose="02020600000000000000" pitchFamily="18" charset="-128"/>
                <a:cs typeface="Times New Roman" panose="02020603050405020304" pitchFamily="18" charset="0"/>
              </a:defRPr>
            </a:pPr>
            <a:endParaRPr lang="ja-JP"/>
          </a:p>
        </c:txPr>
        <c:crossAx val="48468041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8066079059829063"/>
          <c:y val="7.213117283950618E-2"/>
          <c:w val="0.17974867724867724"/>
          <c:h val="0.16737283950617285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游明朝 Demibold" panose="02020600000000000000" pitchFamily="18" charset="-128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>
          <a:latin typeface="Times New Roman" panose="02020603050405020304" pitchFamily="18" charset="0"/>
          <a:ea typeface="游明朝 Demibold" panose="02020600000000000000" pitchFamily="18" charset="-128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90793650793651"/>
          <c:y val="4.5645679012345682E-2"/>
          <c:w val="0.86049417989417998"/>
          <c:h val="0.7348675925925926"/>
        </c:manualLayout>
      </c:layout>
      <c:scatterChart>
        <c:scatterStyle val="lineMarker"/>
        <c:varyColors val="0"/>
        <c:ser>
          <c:idx val="0"/>
          <c:order val="0"/>
          <c:tx>
            <c:v>従来手法:CPU</c:v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PSNR!$H$2:$H$9</c:f>
              <c:numCache>
                <c:formatCode>General</c:formatCode>
                <c:ptCount val="8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</c:numCache>
            </c:numRef>
          </c:xVal>
          <c:yVal>
            <c:numRef>
              <c:f>PSNR!$I$2:$I$9</c:f>
              <c:numCache>
                <c:formatCode>General</c:formatCode>
                <c:ptCount val="8"/>
                <c:pt idx="0">
                  <c:v>31.879700000000003</c:v>
                </c:pt>
                <c:pt idx="1">
                  <c:v>30.599350000000001</c:v>
                </c:pt>
                <c:pt idx="2">
                  <c:v>31.752699999999997</c:v>
                </c:pt>
                <c:pt idx="3">
                  <c:v>29.081725000000002</c:v>
                </c:pt>
                <c:pt idx="4">
                  <c:v>27.755599999999998</c:v>
                </c:pt>
                <c:pt idx="5">
                  <c:v>28.549599999999998</c:v>
                </c:pt>
                <c:pt idx="6">
                  <c:v>23.403449999999999</c:v>
                </c:pt>
                <c:pt idx="7">
                  <c:v>28.263449999999999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FB-45E2-BE92-4E62E8FE6612}"/>
            </c:ext>
          </c:extLst>
        </c:ser>
        <c:ser>
          <c:idx val="1"/>
          <c:order val="1"/>
          <c:tx>
            <c:v>OpenGL:GPU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PSNR!$H$2:$H$9</c:f>
              <c:numCache>
                <c:formatCode>General</c:formatCode>
                <c:ptCount val="8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</c:numCache>
            </c:numRef>
          </c:xVal>
          <c:yVal>
            <c:numRef>
              <c:f>PSNR!$J$2:$J$9</c:f>
              <c:numCache>
                <c:formatCode>General</c:formatCode>
                <c:ptCount val="8"/>
                <c:pt idx="0">
                  <c:v>32.331600000000002</c:v>
                </c:pt>
                <c:pt idx="1">
                  <c:v>31.475550000000002</c:v>
                </c:pt>
                <c:pt idx="2">
                  <c:v>31.834699999999998</c:v>
                </c:pt>
                <c:pt idx="3">
                  <c:v>30.165199999999999</c:v>
                </c:pt>
                <c:pt idx="4">
                  <c:v>27.965500000000002</c:v>
                </c:pt>
                <c:pt idx="5">
                  <c:v>28.909199999999998</c:v>
                </c:pt>
                <c:pt idx="6">
                  <c:v>23.5014</c:v>
                </c:pt>
                <c:pt idx="7">
                  <c:v>28.277549999999998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FB-45E2-BE92-4E62E8FE6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680415"/>
        <c:axId val="484678495"/>
      </c:scatterChart>
      <c:valAx>
        <c:axId val="484680415"/>
        <c:scaling>
          <c:orientation val="minMax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游明朝 Demibold" panose="02020600000000000000" pitchFamily="18" charset="-128"/>
                    <a:cs typeface="Times New Roman" panose="02020603050405020304" pitchFamily="18" charset="0"/>
                  </a:defRPr>
                </a:pPr>
                <a:r>
                  <a:rPr lang="ja-JP"/>
                  <a:t>被写体距離</a:t>
                </a:r>
                <a:r>
                  <a:rPr lang="en-US"/>
                  <a:t>[mm]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2927899305555556"/>
              <c:y val="0.886033024691358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游明朝 Demibold" panose="02020600000000000000" pitchFamily="18" charset="-128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游明朝 Demibold" panose="02020600000000000000" pitchFamily="18" charset="-128"/>
                <a:cs typeface="Times New Roman" panose="02020603050405020304" pitchFamily="18" charset="0"/>
              </a:defRPr>
            </a:pPr>
            <a:endParaRPr lang="ja-JP"/>
          </a:p>
        </c:txPr>
        <c:crossAx val="484678495"/>
        <c:crosses val="autoZero"/>
        <c:crossBetween val="midCat"/>
      </c:valAx>
      <c:valAx>
        <c:axId val="484678495"/>
        <c:scaling>
          <c:orientation val="minMax"/>
          <c:max val="36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游明朝 Demibold" panose="02020600000000000000" pitchFamily="18" charset="-128"/>
                    <a:cs typeface="Times New Roman" panose="02020603050405020304" pitchFamily="18" charset="0"/>
                  </a:defRPr>
                </a:pPr>
                <a:r>
                  <a:rPr lang="en-US"/>
                  <a:t>PSNR[dB]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1.1024305555555556E-2"/>
              <c:y val="0.299377160493827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游明朝 Demibold" panose="02020600000000000000" pitchFamily="18" charset="-128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游明朝 Demibold" panose="02020600000000000000" pitchFamily="18" charset="-128"/>
                <a:cs typeface="Times New Roman" panose="02020603050405020304" pitchFamily="18" charset="0"/>
              </a:defRPr>
            </a:pPr>
            <a:endParaRPr lang="ja-JP"/>
          </a:p>
        </c:txPr>
        <c:crossAx val="484680415"/>
        <c:crosses val="autoZero"/>
        <c:crossBetween val="midCat"/>
        <c:majorUnit val="2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9604409722222227"/>
          <c:y val="6.4291666666666678E-2"/>
          <c:w val="0.24977934027777779"/>
          <c:h val="0.16737283950617285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游明朝 Demibold" panose="02020600000000000000" pitchFamily="18" charset="-128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ea typeface="游明朝 Demibold" panose="02020600000000000000" pitchFamily="18" charset="-128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04756944444444"/>
          <c:y val="4.5645679012345682E-2"/>
          <c:w val="0.84726493055555574"/>
          <c:h val="0.7348675925925926"/>
        </c:manualLayout>
      </c:layout>
      <c:scatterChart>
        <c:scatterStyle val="lineMarker"/>
        <c:varyColors val="0"/>
        <c:ser>
          <c:idx val="0"/>
          <c:order val="0"/>
          <c:tx>
            <c:v>従来手法:CPU</c:v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PSNR!$H$12:$H$19</c:f>
              <c:numCache>
                <c:formatCode>General</c:formatCode>
                <c:ptCount val="8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</c:numCache>
            </c:numRef>
          </c:xVal>
          <c:yVal>
            <c:numRef>
              <c:f>PSNR!$I$12:$I$19</c:f>
              <c:numCache>
                <c:formatCode>General</c:formatCode>
                <c:ptCount val="8"/>
                <c:pt idx="0">
                  <c:v>167.5</c:v>
                </c:pt>
                <c:pt idx="1">
                  <c:v>176.10000000000002</c:v>
                </c:pt>
                <c:pt idx="2">
                  <c:v>178.55</c:v>
                </c:pt>
                <c:pt idx="3">
                  <c:v>184.42500000000001</c:v>
                </c:pt>
                <c:pt idx="4">
                  <c:v>186.32499999999999</c:v>
                </c:pt>
                <c:pt idx="5">
                  <c:v>188.125</c:v>
                </c:pt>
                <c:pt idx="6">
                  <c:v>191.82500000000002</c:v>
                </c:pt>
                <c:pt idx="7">
                  <c:v>196.97499999999999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22-484A-804B-733F6ED1870B}"/>
            </c:ext>
          </c:extLst>
        </c:ser>
        <c:ser>
          <c:idx val="2"/>
          <c:order val="2"/>
          <c:tx>
            <c:v>OpenGL:GPU</c:v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PSNR!$H$12:$H$19</c:f>
              <c:numCache>
                <c:formatCode>General</c:formatCode>
                <c:ptCount val="8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</c:numCache>
            </c:numRef>
          </c:xVal>
          <c:yVal>
            <c:numRef>
              <c:f>PSNR!$J$12:$J$19</c:f>
              <c:numCache>
                <c:formatCode>General</c:formatCode>
                <c:ptCount val="8"/>
                <c:pt idx="0">
                  <c:v>46.582499999999996</c:v>
                </c:pt>
                <c:pt idx="1">
                  <c:v>47.072499999999998</c:v>
                </c:pt>
                <c:pt idx="2">
                  <c:v>46.645000000000003</c:v>
                </c:pt>
                <c:pt idx="3">
                  <c:v>46.664999999999992</c:v>
                </c:pt>
                <c:pt idx="4">
                  <c:v>46.877499999999998</c:v>
                </c:pt>
                <c:pt idx="5">
                  <c:v>47.227499999999999</c:v>
                </c:pt>
                <c:pt idx="6">
                  <c:v>47.067499999999995</c:v>
                </c:pt>
                <c:pt idx="7">
                  <c:v>46.575000000000003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22-484A-804B-733F6ED18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680415"/>
        <c:axId val="48467849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19050" cap="rnd">
                    <a:solidFill>
                      <a:schemeClr val="tx2">
                        <a:lumMod val="75000"/>
                        <a:lumOff val="2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PSNR!$H$12:$H$19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300</c:v>
                      </c:pt>
                      <c:pt idx="1">
                        <c:v>400</c:v>
                      </c:pt>
                      <c:pt idx="2">
                        <c:v>500</c:v>
                      </c:pt>
                      <c:pt idx="3">
                        <c:v>600</c:v>
                      </c:pt>
                      <c:pt idx="4">
                        <c:v>700</c:v>
                      </c:pt>
                      <c:pt idx="5">
                        <c:v>800</c:v>
                      </c:pt>
                      <c:pt idx="6">
                        <c:v>900</c:v>
                      </c:pt>
                      <c:pt idx="7">
                        <c:v>1000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PSNR!$K$12:$K$19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826.99499999999989</c:v>
                      </c:pt>
                      <c:pt idx="1">
                        <c:v>912.59750000000008</c:v>
                      </c:pt>
                      <c:pt idx="2">
                        <c:v>1000.5725</c:v>
                      </c:pt>
                      <c:pt idx="3">
                        <c:v>1030.9325000000001</c:v>
                      </c:pt>
                      <c:pt idx="4">
                        <c:v>1073.1374999999998</c:v>
                      </c:pt>
                      <c:pt idx="5">
                        <c:v>1067.19</c:v>
                      </c:pt>
                      <c:pt idx="6">
                        <c:v>1150.8575000000001</c:v>
                      </c:pt>
                      <c:pt idx="7">
                        <c:v>1146.6324999999999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A322-484A-804B-733F6ED1870B}"/>
                  </c:ext>
                </c:extLst>
              </c15:ser>
            </c15:filteredScatterSeries>
          </c:ext>
        </c:extLst>
      </c:scatterChart>
      <c:valAx>
        <c:axId val="484680415"/>
        <c:scaling>
          <c:orientation val="minMax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游明朝 Demibold" panose="02020600000000000000" pitchFamily="18" charset="-128"/>
                    <a:cs typeface="Times New Roman" panose="02020603050405020304" pitchFamily="18" charset="0"/>
                  </a:defRPr>
                </a:pPr>
                <a:r>
                  <a:rPr lang="ja-JP"/>
                  <a:t>被写体距離</a:t>
                </a:r>
                <a:r>
                  <a:rPr lang="en-US"/>
                  <a:t>[mm]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.42927899305555556"/>
              <c:y val="0.886033024691358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游明朝 Demibold" panose="02020600000000000000" pitchFamily="18" charset="-128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游明朝 Demibold" panose="02020600000000000000" pitchFamily="18" charset="-128"/>
                <a:cs typeface="Times New Roman" panose="02020603050405020304" pitchFamily="18" charset="0"/>
              </a:defRPr>
            </a:pPr>
            <a:endParaRPr lang="ja-JP"/>
          </a:p>
        </c:txPr>
        <c:crossAx val="484678495"/>
        <c:crosses val="autoZero"/>
        <c:crossBetween val="midCat"/>
      </c:valAx>
      <c:valAx>
        <c:axId val="484678495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游明朝 Demibold" panose="02020600000000000000" pitchFamily="18" charset="-128"/>
                    <a:cs typeface="Times New Roman" panose="02020603050405020304" pitchFamily="18" charset="0"/>
                  </a:defRPr>
                </a:pPr>
                <a:r>
                  <a:rPr lang="ja-JP"/>
                  <a:t>処理時間</a:t>
                </a:r>
                <a:r>
                  <a:rPr lang="en-US"/>
                  <a:t>[ms]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0"/>
              <c:y val="0.299377160493827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游明朝 Demibold" panose="02020600000000000000" pitchFamily="18" charset="-128"/>
                  <a:cs typeface="Times New Roman" panose="02020603050405020304" pitchFamily="18" charset="0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游明朝 Demibold" panose="02020600000000000000" pitchFamily="18" charset="-128"/>
                <a:cs typeface="Times New Roman" panose="02020603050405020304" pitchFamily="18" charset="0"/>
              </a:defRPr>
            </a:pPr>
            <a:endParaRPr lang="ja-JP"/>
          </a:p>
        </c:txPr>
        <c:crossAx val="484680415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0349062500000004"/>
          <c:y val="7.213117283950618E-2"/>
          <c:w val="0.25691874999999997"/>
          <c:h val="0.16737283950617285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游明朝 Demibold" panose="02020600000000000000" pitchFamily="18" charset="-128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ea typeface="游明朝 Demibold" panose="02020600000000000000" pitchFamily="18" charset="-128"/>
          <a:cs typeface="Times New Roman" panose="02020603050405020304" pitchFamily="18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26</xdr:col>
      <xdr:colOff>83478</xdr:colOff>
      <xdr:row>15</xdr:row>
      <xdr:rowOff>70521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5EA2932-1790-A8BF-9D6C-08772CB3E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16</xdr:row>
      <xdr:rowOff>0</xdr:rowOff>
    </xdr:from>
    <xdr:to>
      <xdr:col>26</xdr:col>
      <xdr:colOff>83478</xdr:colOff>
      <xdr:row>30</xdr:row>
      <xdr:rowOff>70522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E52D733-DC52-4633-AFAC-CD2D354A0F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33</xdr:row>
      <xdr:rowOff>0</xdr:rowOff>
    </xdr:from>
    <xdr:to>
      <xdr:col>20</xdr:col>
      <xdr:colOff>459130</xdr:colOff>
      <xdr:row>47</xdr:row>
      <xdr:rowOff>70522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BE72C6C7-09C6-47B4-9695-3696CD86D8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48</xdr:row>
      <xdr:rowOff>0</xdr:rowOff>
    </xdr:from>
    <xdr:to>
      <xdr:col>20</xdr:col>
      <xdr:colOff>459130</xdr:colOff>
      <xdr:row>62</xdr:row>
      <xdr:rowOff>70522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C6D98505-73E8-4FE5-9B93-7DC21EFF9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0D083-EEF5-4640-B1BA-E2D7A1F85565}">
  <dimension ref="A1:K24"/>
  <sheetViews>
    <sheetView tabSelected="1" topLeftCell="B22" zoomScale="115" zoomScaleNormal="115" workbookViewId="0">
      <selection activeCell="Y35" sqref="Y35"/>
    </sheetView>
  </sheetViews>
  <sheetFormatPr defaultRowHeight="18" x14ac:dyDescent="0.55000000000000004"/>
  <cols>
    <col min="10" max="10" width="14.5" customWidth="1"/>
    <col min="11" max="11" width="13.75" customWidth="1"/>
  </cols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8</v>
      </c>
      <c r="I1" t="s">
        <v>0</v>
      </c>
      <c r="J1" t="s">
        <v>5</v>
      </c>
    </row>
    <row r="2" spans="1:11" x14ac:dyDescent="0.55000000000000004">
      <c r="A2">
        <v>300</v>
      </c>
      <c r="B2">
        <v>30.330400000000001</v>
      </c>
      <c r="C2">
        <v>33.292200000000001</v>
      </c>
      <c r="D2">
        <v>32.317</v>
      </c>
      <c r="E2">
        <v>31.5792</v>
      </c>
      <c r="F2">
        <f>AVERAGE(B2:E2)</f>
        <v>31.879700000000003</v>
      </c>
      <c r="H2">
        <v>300</v>
      </c>
      <c r="I2">
        <v>31.879700000000003</v>
      </c>
      <c r="J2">
        <v>32.331600000000002</v>
      </c>
    </row>
    <row r="3" spans="1:11" x14ac:dyDescent="0.55000000000000004">
      <c r="A3">
        <v>400</v>
      </c>
      <c r="B3">
        <v>29.290099999999999</v>
      </c>
      <c r="C3">
        <v>31.685199999999998</v>
      </c>
      <c r="D3">
        <v>30.9983</v>
      </c>
      <c r="E3">
        <v>30.4238</v>
      </c>
      <c r="F3">
        <f t="shared" ref="F3:F9" si="0">AVERAGE(B3:E3)</f>
        <v>30.599350000000001</v>
      </c>
      <c r="H3">
        <v>400</v>
      </c>
      <c r="I3">
        <v>30.599350000000001</v>
      </c>
      <c r="J3">
        <v>31.475550000000002</v>
      </c>
    </row>
    <row r="4" spans="1:11" x14ac:dyDescent="0.55000000000000004">
      <c r="A4">
        <v>500</v>
      </c>
      <c r="B4">
        <v>30.279399999999999</v>
      </c>
      <c r="C4">
        <v>33.037799999999997</v>
      </c>
      <c r="D4">
        <v>32.123600000000003</v>
      </c>
      <c r="E4">
        <v>31.57</v>
      </c>
      <c r="F4">
        <f t="shared" si="0"/>
        <v>31.752699999999997</v>
      </c>
      <c r="H4">
        <v>500</v>
      </c>
      <c r="I4">
        <v>31.752699999999997</v>
      </c>
      <c r="J4">
        <v>31.834699999999998</v>
      </c>
    </row>
    <row r="5" spans="1:11" x14ac:dyDescent="0.55000000000000004">
      <c r="A5">
        <v>600</v>
      </c>
      <c r="B5">
        <v>27.969000000000001</v>
      </c>
      <c r="C5">
        <v>30.088999999999999</v>
      </c>
      <c r="D5">
        <v>29.466100000000001</v>
      </c>
      <c r="E5">
        <v>28.802800000000001</v>
      </c>
      <c r="F5">
        <f t="shared" si="0"/>
        <v>29.081725000000002</v>
      </c>
      <c r="H5">
        <v>600</v>
      </c>
      <c r="I5">
        <v>29.081725000000002</v>
      </c>
      <c r="J5">
        <v>30.165199999999999</v>
      </c>
    </row>
    <row r="6" spans="1:11" x14ac:dyDescent="0.55000000000000004">
      <c r="A6">
        <v>700</v>
      </c>
      <c r="B6">
        <v>26.911000000000001</v>
      </c>
      <c r="C6">
        <v>28.416399999999999</v>
      </c>
      <c r="D6">
        <v>28.253299999999999</v>
      </c>
      <c r="E6">
        <v>27.441700000000001</v>
      </c>
      <c r="F6">
        <f t="shared" si="0"/>
        <v>27.755599999999998</v>
      </c>
      <c r="H6">
        <v>700</v>
      </c>
      <c r="I6">
        <v>27.755599999999998</v>
      </c>
      <c r="J6">
        <v>27.965500000000002</v>
      </c>
    </row>
    <row r="7" spans="1:11" x14ac:dyDescent="0.55000000000000004">
      <c r="A7">
        <v>800</v>
      </c>
      <c r="B7">
        <v>27.303599999999999</v>
      </c>
      <c r="C7">
        <v>29.715900000000001</v>
      </c>
      <c r="D7">
        <v>28.873000000000001</v>
      </c>
      <c r="E7">
        <v>28.305900000000001</v>
      </c>
      <c r="F7">
        <f t="shared" si="0"/>
        <v>28.549599999999998</v>
      </c>
      <c r="H7">
        <v>800</v>
      </c>
      <c r="I7">
        <v>28.549599999999998</v>
      </c>
      <c r="J7">
        <v>28.909199999999998</v>
      </c>
    </row>
    <row r="8" spans="1:11" x14ac:dyDescent="0.55000000000000004">
      <c r="A8">
        <v>900</v>
      </c>
      <c r="B8">
        <v>23.3369</v>
      </c>
      <c r="C8">
        <v>23.360600000000002</v>
      </c>
      <c r="D8">
        <v>24.110399999999998</v>
      </c>
      <c r="E8">
        <v>22.805900000000001</v>
      </c>
      <c r="F8">
        <f t="shared" si="0"/>
        <v>23.403449999999999</v>
      </c>
      <c r="H8">
        <v>900</v>
      </c>
      <c r="I8">
        <v>23.403449999999999</v>
      </c>
      <c r="J8">
        <v>23.5014</v>
      </c>
    </row>
    <row r="9" spans="1:11" x14ac:dyDescent="0.55000000000000004">
      <c r="A9">
        <v>1000</v>
      </c>
      <c r="B9">
        <v>27.033799999999999</v>
      </c>
      <c r="C9">
        <v>29.375599999999999</v>
      </c>
      <c r="D9">
        <v>28.409400000000002</v>
      </c>
      <c r="E9">
        <v>28.234999999999999</v>
      </c>
      <c r="F9">
        <f t="shared" si="0"/>
        <v>28.263449999999999</v>
      </c>
      <c r="H9">
        <v>1000</v>
      </c>
      <c r="I9">
        <v>28.263449999999999</v>
      </c>
      <c r="J9">
        <v>28.277549999999998</v>
      </c>
    </row>
    <row r="10" spans="1:11" x14ac:dyDescent="0.55000000000000004">
      <c r="B10">
        <f>AVERAGE(B2:B9)</f>
        <v>27.806774999999995</v>
      </c>
      <c r="C10">
        <f t="shared" ref="C10:E10" si="1">AVERAGE(C2:C9)</f>
        <v>29.8715875</v>
      </c>
      <c r="D10">
        <f t="shared" si="1"/>
        <v>29.318887499999999</v>
      </c>
      <c r="E10">
        <f t="shared" si="1"/>
        <v>28.645537500000003</v>
      </c>
      <c r="F10">
        <f>AVERAGE(B2:E9)</f>
        <v>28.910696874999996</v>
      </c>
    </row>
    <row r="11" spans="1:11" x14ac:dyDescent="0.55000000000000004">
      <c r="A11" t="s">
        <v>5</v>
      </c>
      <c r="B11" t="s">
        <v>1</v>
      </c>
      <c r="C11" t="s">
        <v>2</v>
      </c>
      <c r="D11" t="s">
        <v>3</v>
      </c>
      <c r="E11" t="s">
        <v>4</v>
      </c>
      <c r="H11" t="s">
        <v>9</v>
      </c>
      <c r="I11" t="s">
        <v>0</v>
      </c>
      <c r="J11" t="s">
        <v>6</v>
      </c>
      <c r="K11" t="s">
        <v>7</v>
      </c>
    </row>
    <row r="12" spans="1:11" x14ac:dyDescent="0.55000000000000004">
      <c r="A12">
        <v>300</v>
      </c>
      <c r="B12">
        <v>30.954699999999999</v>
      </c>
      <c r="C12">
        <v>33.292200000000001</v>
      </c>
      <c r="D12">
        <v>32.940100000000001</v>
      </c>
      <c r="E12">
        <v>32.139400000000002</v>
      </c>
      <c r="F12">
        <f>AVERAGE(B12:E12)</f>
        <v>32.331600000000002</v>
      </c>
      <c r="H12">
        <v>300</v>
      </c>
      <c r="I12">
        <v>167.5</v>
      </c>
      <c r="J12">
        <v>46.582499999999996</v>
      </c>
      <c r="K12">
        <v>826.99499999999989</v>
      </c>
    </row>
    <row r="13" spans="1:11" x14ac:dyDescent="0.55000000000000004">
      <c r="A13">
        <v>400</v>
      </c>
      <c r="B13">
        <v>30.409199999999998</v>
      </c>
      <c r="C13">
        <v>31.685199999999998</v>
      </c>
      <c r="D13">
        <v>32.200200000000002</v>
      </c>
      <c r="E13">
        <v>31.607600000000001</v>
      </c>
      <c r="F13">
        <f t="shared" ref="F13:F19" si="2">AVERAGE(B13:E13)</f>
        <v>31.475550000000002</v>
      </c>
      <c r="H13">
        <v>400</v>
      </c>
      <c r="I13">
        <v>176.10000000000002</v>
      </c>
      <c r="J13">
        <v>47.072499999999998</v>
      </c>
      <c r="K13">
        <v>912.59750000000008</v>
      </c>
    </row>
    <row r="14" spans="1:11" x14ac:dyDescent="0.55000000000000004">
      <c r="A14">
        <v>500</v>
      </c>
      <c r="B14">
        <v>30.360800000000001</v>
      </c>
      <c r="C14">
        <v>33.037799999999997</v>
      </c>
      <c r="D14">
        <v>32.228000000000002</v>
      </c>
      <c r="E14">
        <v>31.712199999999999</v>
      </c>
      <c r="F14">
        <f t="shared" si="2"/>
        <v>31.834699999999998</v>
      </c>
      <c r="H14">
        <v>500</v>
      </c>
      <c r="I14">
        <v>178.55</v>
      </c>
      <c r="J14">
        <v>46.645000000000003</v>
      </c>
      <c r="K14">
        <v>1000.5725</v>
      </c>
    </row>
    <row r="15" spans="1:11" x14ac:dyDescent="0.55000000000000004">
      <c r="A15">
        <v>600</v>
      </c>
      <c r="B15">
        <v>29.214700000000001</v>
      </c>
      <c r="C15">
        <v>30.088999999999999</v>
      </c>
      <c r="D15">
        <v>30.977699999999999</v>
      </c>
      <c r="E15">
        <v>30.3794</v>
      </c>
      <c r="F15">
        <f t="shared" si="2"/>
        <v>30.165199999999999</v>
      </c>
      <c r="H15">
        <v>600</v>
      </c>
      <c r="I15">
        <v>184.42500000000001</v>
      </c>
      <c r="J15">
        <v>46.664999999999992</v>
      </c>
      <c r="K15">
        <v>1030.9325000000001</v>
      </c>
    </row>
    <row r="16" spans="1:11" x14ac:dyDescent="0.55000000000000004">
      <c r="A16">
        <v>700</v>
      </c>
      <c r="B16">
        <v>27.1463</v>
      </c>
      <c r="C16">
        <v>28.416399999999999</v>
      </c>
      <c r="D16">
        <v>28.577400000000001</v>
      </c>
      <c r="E16">
        <v>27.721900000000002</v>
      </c>
      <c r="F16">
        <f t="shared" si="2"/>
        <v>27.965500000000002</v>
      </c>
      <c r="H16">
        <v>700</v>
      </c>
      <c r="I16">
        <v>186.32499999999999</v>
      </c>
      <c r="J16">
        <v>46.877499999999998</v>
      </c>
      <c r="K16">
        <v>1073.1374999999998</v>
      </c>
    </row>
    <row r="17" spans="1:11" x14ac:dyDescent="0.55000000000000004">
      <c r="A17">
        <v>800</v>
      </c>
      <c r="B17">
        <v>27.711300000000001</v>
      </c>
      <c r="C17">
        <v>29.715900000000001</v>
      </c>
      <c r="D17">
        <v>29.4056</v>
      </c>
      <c r="E17">
        <v>28.803999999999998</v>
      </c>
      <c r="F17">
        <f t="shared" si="2"/>
        <v>28.909199999999998</v>
      </c>
      <c r="H17">
        <v>800</v>
      </c>
      <c r="I17">
        <v>188.125</v>
      </c>
      <c r="J17">
        <v>47.227499999999999</v>
      </c>
      <c r="K17">
        <v>1067.19</v>
      </c>
    </row>
    <row r="18" spans="1:11" x14ac:dyDescent="0.55000000000000004">
      <c r="A18">
        <v>900</v>
      </c>
      <c r="B18">
        <v>23.4496</v>
      </c>
      <c r="C18">
        <v>23.360600000000002</v>
      </c>
      <c r="D18">
        <v>24.290299999999998</v>
      </c>
      <c r="E18">
        <v>22.905100000000001</v>
      </c>
      <c r="F18">
        <f t="shared" si="2"/>
        <v>23.5014</v>
      </c>
      <c r="H18">
        <v>900</v>
      </c>
      <c r="I18">
        <v>191.82500000000002</v>
      </c>
      <c r="J18">
        <v>47.067499999999995</v>
      </c>
      <c r="K18">
        <v>1150.8575000000001</v>
      </c>
    </row>
    <row r="19" spans="1:11" x14ac:dyDescent="0.55000000000000004">
      <c r="A19">
        <v>1000</v>
      </c>
      <c r="B19">
        <v>27.034199999999998</v>
      </c>
      <c r="C19">
        <v>29.375599999999999</v>
      </c>
      <c r="D19">
        <v>28.470099999999999</v>
      </c>
      <c r="E19">
        <v>28.2303</v>
      </c>
      <c r="F19">
        <f t="shared" si="2"/>
        <v>28.277549999999998</v>
      </c>
      <c r="H19">
        <v>1000</v>
      </c>
      <c r="I19">
        <v>196.97499999999999</v>
      </c>
      <c r="J19">
        <v>46.575000000000003</v>
      </c>
      <c r="K19">
        <v>1146.6324999999999</v>
      </c>
    </row>
    <row r="20" spans="1:11" x14ac:dyDescent="0.55000000000000004">
      <c r="B20">
        <f>AVERAGE(B12:B19)</f>
        <v>28.2851</v>
      </c>
      <c r="C20">
        <f t="shared" ref="C20:E20" si="3">AVERAGE(C12:C19)</f>
        <v>29.8715875</v>
      </c>
      <c r="D20">
        <f t="shared" si="3"/>
        <v>29.886175000000001</v>
      </c>
      <c r="E20">
        <f t="shared" si="3"/>
        <v>29.1874875</v>
      </c>
      <c r="F20">
        <f>AVERAGE(B12:E19)</f>
        <v>29.307587500000004</v>
      </c>
    </row>
    <row r="24" spans="1:11" x14ac:dyDescent="0.55000000000000004">
      <c r="F24" s="1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219FE-CDEA-41C9-B0E1-328226B4D6DC}">
  <dimension ref="A1:M32"/>
  <sheetViews>
    <sheetView topLeftCell="B1" workbookViewId="0">
      <selection activeCell="J29" sqref="J29"/>
    </sheetView>
  </sheetViews>
  <sheetFormatPr defaultRowHeight="18" x14ac:dyDescent="0.55000000000000004"/>
  <cols>
    <col min="1" max="1" width="13.33203125" customWidth="1"/>
    <col min="8" max="8" width="19.58203125" customWidth="1"/>
  </cols>
  <sheetData>
    <row r="1" spans="1:1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3" x14ac:dyDescent="0.55000000000000004">
      <c r="A2">
        <v>300</v>
      </c>
      <c r="B2">
        <v>174.1</v>
      </c>
      <c r="C2">
        <v>164.7</v>
      </c>
      <c r="D2">
        <v>169.6</v>
      </c>
      <c r="E2">
        <v>161.6</v>
      </c>
      <c r="F2">
        <f>AVERAGE(B2:E2)</f>
        <v>167.5</v>
      </c>
    </row>
    <row r="3" spans="1:13" x14ac:dyDescent="0.55000000000000004">
      <c r="A3">
        <v>400</v>
      </c>
      <c r="B3">
        <v>178.1</v>
      </c>
      <c r="C3">
        <v>171</v>
      </c>
      <c r="D3">
        <v>176.3</v>
      </c>
      <c r="E3">
        <v>179</v>
      </c>
      <c r="F3">
        <f t="shared" ref="F3:F9" si="0">AVERAGE(B3:E3)</f>
        <v>176.10000000000002</v>
      </c>
    </row>
    <row r="4" spans="1:13" x14ac:dyDescent="0.55000000000000004">
      <c r="A4">
        <v>500</v>
      </c>
      <c r="B4">
        <v>183.1</v>
      </c>
      <c r="C4">
        <v>175.7</v>
      </c>
      <c r="D4">
        <v>176.7</v>
      </c>
      <c r="E4">
        <v>178.7</v>
      </c>
      <c r="F4">
        <f t="shared" si="0"/>
        <v>178.55</v>
      </c>
    </row>
    <row r="5" spans="1:13" x14ac:dyDescent="0.55000000000000004">
      <c r="A5">
        <v>600</v>
      </c>
      <c r="B5">
        <v>183.5</v>
      </c>
      <c r="C5">
        <v>182.2</v>
      </c>
      <c r="D5">
        <v>184.2</v>
      </c>
      <c r="E5">
        <v>187.8</v>
      </c>
      <c r="F5">
        <f t="shared" si="0"/>
        <v>184.42500000000001</v>
      </c>
    </row>
    <row r="6" spans="1:13" x14ac:dyDescent="0.55000000000000004">
      <c r="A6">
        <v>700</v>
      </c>
      <c r="B6">
        <v>184.8</v>
      </c>
      <c r="C6">
        <v>186.2</v>
      </c>
      <c r="D6">
        <v>185.5</v>
      </c>
      <c r="E6">
        <v>188.8</v>
      </c>
      <c r="F6">
        <f t="shared" si="0"/>
        <v>186.32499999999999</v>
      </c>
    </row>
    <row r="7" spans="1:13" x14ac:dyDescent="0.55000000000000004">
      <c r="A7">
        <v>800</v>
      </c>
      <c r="B7">
        <v>186.3</v>
      </c>
      <c r="C7">
        <v>186.8</v>
      </c>
      <c r="D7">
        <v>186.2</v>
      </c>
      <c r="E7">
        <v>193.2</v>
      </c>
      <c r="F7">
        <f t="shared" si="0"/>
        <v>188.125</v>
      </c>
    </row>
    <row r="8" spans="1:13" x14ac:dyDescent="0.55000000000000004">
      <c r="A8">
        <v>900</v>
      </c>
      <c r="B8">
        <v>188.1</v>
      </c>
      <c r="C8">
        <v>186.9</v>
      </c>
      <c r="D8">
        <v>199.2</v>
      </c>
      <c r="E8">
        <v>193.1</v>
      </c>
      <c r="F8">
        <f t="shared" si="0"/>
        <v>191.82500000000002</v>
      </c>
    </row>
    <row r="9" spans="1:13" x14ac:dyDescent="0.55000000000000004">
      <c r="A9">
        <v>1000</v>
      </c>
      <c r="B9">
        <v>186.4</v>
      </c>
      <c r="C9">
        <v>183.8</v>
      </c>
      <c r="D9">
        <v>227.3</v>
      </c>
      <c r="E9">
        <v>190.4</v>
      </c>
      <c r="F9">
        <f t="shared" si="0"/>
        <v>196.97499999999999</v>
      </c>
    </row>
    <row r="10" spans="1:13" x14ac:dyDescent="0.55000000000000004">
      <c r="B10">
        <f>AVERAGE(B2:B9)</f>
        <v>183.04999999999998</v>
      </c>
      <c r="C10">
        <f t="shared" ref="C10:E10" si="1">AVERAGE(C2:C9)</f>
        <v>179.66249999999999</v>
      </c>
      <c r="D10">
        <f t="shared" si="1"/>
        <v>188.125</v>
      </c>
      <c r="E10">
        <f t="shared" si="1"/>
        <v>184.07499999999999</v>
      </c>
      <c r="F10">
        <f>AVERAGE(B2:E9)</f>
        <v>183.72812500000001</v>
      </c>
    </row>
    <row r="12" spans="1:13" x14ac:dyDescent="0.55000000000000004">
      <c r="A12" t="s">
        <v>6</v>
      </c>
      <c r="B12" t="s">
        <v>1</v>
      </c>
      <c r="C12" t="s">
        <v>2</v>
      </c>
      <c r="D12" t="s">
        <v>3</v>
      </c>
      <c r="E12" t="s">
        <v>4</v>
      </c>
      <c r="H12" t="s">
        <v>10</v>
      </c>
      <c r="I12" t="s">
        <v>1</v>
      </c>
      <c r="J12" t="s">
        <v>2</v>
      </c>
      <c r="K12" t="s">
        <v>3</v>
      </c>
      <c r="L12" t="s">
        <v>4</v>
      </c>
    </row>
    <row r="13" spans="1:13" x14ac:dyDescent="0.55000000000000004">
      <c r="A13">
        <v>300</v>
      </c>
      <c r="B13">
        <v>48</v>
      </c>
      <c r="C13">
        <v>48</v>
      </c>
      <c r="D13">
        <v>48</v>
      </c>
      <c r="E13">
        <v>49</v>
      </c>
      <c r="F13">
        <f>AVERAGE(B13:E13)</f>
        <v>48.25</v>
      </c>
      <c r="H13">
        <v>300</v>
      </c>
      <c r="I13">
        <v>47.43</v>
      </c>
      <c r="J13">
        <v>45.17</v>
      </c>
      <c r="K13">
        <v>48.13</v>
      </c>
      <c r="L13">
        <v>45.6</v>
      </c>
      <c r="M13">
        <f>AVERAGE(I13:L13)</f>
        <v>46.582499999999996</v>
      </c>
    </row>
    <row r="14" spans="1:13" x14ac:dyDescent="0.55000000000000004">
      <c r="A14">
        <v>400</v>
      </c>
      <c r="B14">
        <v>47</v>
      </c>
      <c r="C14">
        <v>47</v>
      </c>
      <c r="D14">
        <v>48</v>
      </c>
      <c r="E14">
        <v>49</v>
      </c>
      <c r="F14">
        <f t="shared" ref="F14:F20" si="2">AVERAGE(B14:E14)</f>
        <v>47.75</v>
      </c>
      <c r="H14">
        <v>400</v>
      </c>
      <c r="I14">
        <v>48.43</v>
      </c>
      <c r="J14">
        <v>47.21</v>
      </c>
      <c r="K14">
        <v>47.3</v>
      </c>
      <c r="L14">
        <v>45.35</v>
      </c>
      <c r="M14">
        <f t="shared" ref="M14:M20" si="3">AVERAGE(I14:L14)</f>
        <v>47.072499999999998</v>
      </c>
    </row>
    <row r="15" spans="1:13" x14ac:dyDescent="0.55000000000000004">
      <c r="A15">
        <v>500</v>
      </c>
      <c r="B15">
        <v>48</v>
      </c>
      <c r="C15">
        <v>48</v>
      </c>
      <c r="D15">
        <v>49</v>
      </c>
      <c r="E15">
        <v>48</v>
      </c>
      <c r="F15">
        <f t="shared" si="2"/>
        <v>48.25</v>
      </c>
      <c r="H15">
        <v>500</v>
      </c>
      <c r="I15">
        <v>46.83</v>
      </c>
      <c r="J15">
        <v>46.82</v>
      </c>
      <c r="K15">
        <v>45.31</v>
      </c>
      <c r="L15">
        <v>47.62</v>
      </c>
      <c r="M15">
        <f t="shared" si="3"/>
        <v>46.645000000000003</v>
      </c>
    </row>
    <row r="16" spans="1:13" x14ac:dyDescent="0.55000000000000004">
      <c r="A16">
        <v>600</v>
      </c>
      <c r="B16">
        <v>49</v>
      </c>
      <c r="C16">
        <v>48</v>
      </c>
      <c r="D16">
        <v>48</v>
      </c>
      <c r="E16">
        <v>46</v>
      </c>
      <c r="F16">
        <f t="shared" si="2"/>
        <v>47.75</v>
      </c>
      <c r="H16">
        <v>600</v>
      </c>
      <c r="I16">
        <v>46.69</v>
      </c>
      <c r="J16">
        <v>47.06</v>
      </c>
      <c r="K16">
        <v>46.33</v>
      </c>
      <c r="L16">
        <v>46.58</v>
      </c>
      <c r="M16">
        <f t="shared" si="3"/>
        <v>46.664999999999992</v>
      </c>
    </row>
    <row r="17" spans="1:13" x14ac:dyDescent="0.55000000000000004">
      <c r="A17">
        <v>700</v>
      </c>
      <c r="B17">
        <v>49</v>
      </c>
      <c r="C17">
        <v>50</v>
      </c>
      <c r="D17">
        <v>48</v>
      </c>
      <c r="E17">
        <v>48</v>
      </c>
      <c r="F17">
        <f t="shared" si="2"/>
        <v>48.75</v>
      </c>
      <c r="H17">
        <v>700</v>
      </c>
      <c r="I17">
        <v>47.04</v>
      </c>
      <c r="J17">
        <v>46.91</v>
      </c>
      <c r="K17">
        <v>47.04</v>
      </c>
      <c r="L17">
        <v>46.52</v>
      </c>
      <c r="M17">
        <f t="shared" si="3"/>
        <v>46.877499999999998</v>
      </c>
    </row>
    <row r="18" spans="1:13" x14ac:dyDescent="0.55000000000000004">
      <c r="A18">
        <v>800</v>
      </c>
      <c r="B18">
        <v>51</v>
      </c>
      <c r="C18">
        <v>51</v>
      </c>
      <c r="D18">
        <v>48</v>
      </c>
      <c r="E18">
        <v>48</v>
      </c>
      <c r="F18">
        <f t="shared" si="2"/>
        <v>49.5</v>
      </c>
      <c r="H18">
        <v>800</v>
      </c>
      <c r="I18">
        <v>46.84</v>
      </c>
      <c r="J18">
        <v>47.23</v>
      </c>
      <c r="K18">
        <v>47.36</v>
      </c>
      <c r="L18">
        <v>47.48</v>
      </c>
      <c r="M18">
        <f t="shared" si="3"/>
        <v>47.227499999999999</v>
      </c>
    </row>
    <row r="19" spans="1:13" x14ac:dyDescent="0.55000000000000004">
      <c r="A19">
        <v>900</v>
      </c>
      <c r="B19">
        <v>48</v>
      </c>
      <c r="C19">
        <v>51</v>
      </c>
      <c r="D19">
        <v>47</v>
      </c>
      <c r="E19">
        <v>48</v>
      </c>
      <c r="F19">
        <f t="shared" si="2"/>
        <v>48.5</v>
      </c>
      <c r="H19">
        <v>900</v>
      </c>
      <c r="I19">
        <v>46.93</v>
      </c>
      <c r="J19">
        <v>46.92</v>
      </c>
      <c r="K19">
        <v>47.38</v>
      </c>
      <c r="L19">
        <v>47.04</v>
      </c>
      <c r="M19">
        <f t="shared" si="3"/>
        <v>47.067499999999995</v>
      </c>
    </row>
    <row r="20" spans="1:13" x14ac:dyDescent="0.55000000000000004">
      <c r="A20">
        <v>1000</v>
      </c>
      <c r="B20">
        <v>48</v>
      </c>
      <c r="C20">
        <v>48</v>
      </c>
      <c r="D20">
        <v>49</v>
      </c>
      <c r="E20">
        <v>47</v>
      </c>
      <c r="F20">
        <f t="shared" si="2"/>
        <v>48</v>
      </c>
      <c r="H20">
        <v>1000</v>
      </c>
      <c r="I20">
        <v>46.8</v>
      </c>
      <c r="J20">
        <v>46.83</v>
      </c>
      <c r="K20">
        <v>45.4</v>
      </c>
      <c r="L20">
        <v>47.27</v>
      </c>
      <c r="M20">
        <f t="shared" si="3"/>
        <v>46.575000000000003</v>
      </c>
    </row>
    <row r="21" spans="1:13" x14ac:dyDescent="0.55000000000000004">
      <c r="B21">
        <f>AVERAGE(B13:B20)</f>
        <v>48.5</v>
      </c>
      <c r="C21">
        <f t="shared" ref="C21:E21" si="4">AVERAGE(C13:C20)</f>
        <v>48.875</v>
      </c>
      <c r="D21">
        <f t="shared" si="4"/>
        <v>48.125</v>
      </c>
      <c r="E21">
        <f t="shared" si="4"/>
        <v>47.875</v>
      </c>
      <c r="F21">
        <f>AVERAGE(B13:E20)</f>
        <v>48.34375</v>
      </c>
      <c r="I21">
        <f>AVERAGE(I13:I20)</f>
        <v>47.123750000000001</v>
      </c>
      <c r="J21">
        <f t="shared" ref="J21:L21" si="5">AVERAGE(J13:J20)</f>
        <v>46.768749999999997</v>
      </c>
      <c r="K21">
        <f t="shared" si="5"/>
        <v>46.781249999999993</v>
      </c>
      <c r="L21">
        <f t="shared" si="5"/>
        <v>46.682499999999997</v>
      </c>
      <c r="M21">
        <f>AVERAGE(I13:L20)</f>
        <v>46.839062499999997</v>
      </c>
    </row>
    <row r="23" spans="1:13" x14ac:dyDescent="0.55000000000000004">
      <c r="A23" t="s">
        <v>7</v>
      </c>
      <c r="B23" t="s">
        <v>1</v>
      </c>
      <c r="C23" t="s">
        <v>2</v>
      </c>
      <c r="D23" t="s">
        <v>3</v>
      </c>
      <c r="E23" t="s">
        <v>4</v>
      </c>
    </row>
    <row r="24" spans="1:13" x14ac:dyDescent="0.55000000000000004">
      <c r="A24">
        <v>300</v>
      </c>
      <c r="B24">
        <v>868.67</v>
      </c>
      <c r="C24">
        <v>776.86</v>
      </c>
      <c r="D24">
        <v>818.54</v>
      </c>
      <c r="E24">
        <v>843.91</v>
      </c>
      <c r="F24">
        <f>AVERAGE(B24:E24)</f>
        <v>826.99499999999989</v>
      </c>
    </row>
    <row r="25" spans="1:13" x14ac:dyDescent="0.55000000000000004">
      <c r="A25">
        <v>400</v>
      </c>
      <c r="B25">
        <v>888.46</v>
      </c>
      <c r="C25">
        <v>899.93</v>
      </c>
      <c r="D25">
        <v>942.99</v>
      </c>
      <c r="E25">
        <v>919.01</v>
      </c>
      <c r="F25">
        <f>AVERAGE(B25:E25)</f>
        <v>912.59750000000008</v>
      </c>
    </row>
    <row r="26" spans="1:13" x14ac:dyDescent="0.55000000000000004">
      <c r="A26">
        <v>500</v>
      </c>
      <c r="B26">
        <v>1047.6400000000001</v>
      </c>
      <c r="C26">
        <v>998.88</v>
      </c>
      <c r="D26">
        <v>997.31</v>
      </c>
      <c r="E26">
        <v>958.46</v>
      </c>
      <c r="F26">
        <f t="shared" ref="F26:F31" si="6">AVERAGE(B26:E26)</f>
        <v>1000.5725</v>
      </c>
    </row>
    <row r="27" spans="1:13" x14ac:dyDescent="0.55000000000000004">
      <c r="A27">
        <v>600</v>
      </c>
      <c r="B27">
        <v>1038.99</v>
      </c>
      <c r="C27">
        <v>1001.57</v>
      </c>
      <c r="D27">
        <v>1083.9100000000001</v>
      </c>
      <c r="E27">
        <v>999.26</v>
      </c>
      <c r="F27">
        <f t="shared" si="6"/>
        <v>1030.9325000000001</v>
      </c>
    </row>
    <row r="28" spans="1:13" x14ac:dyDescent="0.55000000000000004">
      <c r="A28">
        <v>700</v>
      </c>
      <c r="B28">
        <v>1110.8399999999999</v>
      </c>
      <c r="C28">
        <v>1036.3499999999999</v>
      </c>
      <c r="D28">
        <v>1108.8</v>
      </c>
      <c r="E28">
        <v>1036.56</v>
      </c>
      <c r="F28">
        <f t="shared" si="6"/>
        <v>1073.1374999999998</v>
      </c>
    </row>
    <row r="29" spans="1:13" x14ac:dyDescent="0.55000000000000004">
      <c r="A29">
        <v>800</v>
      </c>
      <c r="B29">
        <v>1074.1500000000001</v>
      </c>
      <c r="C29">
        <v>1055.57</v>
      </c>
      <c r="D29">
        <v>1073.83</v>
      </c>
      <c r="E29">
        <v>1065.21</v>
      </c>
      <c r="F29">
        <f t="shared" si="6"/>
        <v>1067.19</v>
      </c>
    </row>
    <row r="30" spans="1:13" x14ac:dyDescent="0.55000000000000004">
      <c r="A30">
        <v>900</v>
      </c>
      <c r="B30">
        <v>1175.3599999999999</v>
      </c>
      <c r="C30">
        <v>1112.0899999999999</v>
      </c>
      <c r="D30">
        <v>1150.51</v>
      </c>
      <c r="E30">
        <v>1165.47</v>
      </c>
      <c r="F30">
        <f t="shared" si="6"/>
        <v>1150.8575000000001</v>
      </c>
    </row>
    <row r="31" spans="1:13" x14ac:dyDescent="0.55000000000000004">
      <c r="A31">
        <v>1000</v>
      </c>
      <c r="B31">
        <v>1183.45</v>
      </c>
      <c r="C31">
        <v>1164.75</v>
      </c>
      <c r="D31">
        <v>1110.96</v>
      </c>
      <c r="E31">
        <v>1127.3699999999999</v>
      </c>
      <c r="F31">
        <f t="shared" si="6"/>
        <v>1146.6324999999999</v>
      </c>
    </row>
    <row r="32" spans="1:13" x14ac:dyDescent="0.55000000000000004">
      <c r="B32">
        <f>AVERAGE(B24:B31)</f>
        <v>1048.4449999999999</v>
      </c>
      <c r="C32">
        <f t="shared" ref="C32" si="7">AVERAGE(C24:C31)</f>
        <v>1005.75</v>
      </c>
      <c r="D32">
        <f t="shared" ref="D32" si="8">AVERAGE(D24:D31)</f>
        <v>1035.85625</v>
      </c>
      <c r="E32">
        <f t="shared" ref="E32" si="9">AVERAGE(E24:E31)</f>
        <v>1014.4062500000001</v>
      </c>
      <c r="F32">
        <f>AVERAGE(B24:E31)</f>
        <v>1026.1143749999999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PSNR</vt:lpstr>
      <vt:lpstr>speed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　哲生</dc:creator>
  <cp:lastModifiedBy>渡辺　哲生</cp:lastModifiedBy>
  <dcterms:created xsi:type="dcterms:W3CDTF">2025-10-15T23:32:15Z</dcterms:created>
  <dcterms:modified xsi:type="dcterms:W3CDTF">2025-10-29T20:20:39Z</dcterms:modified>
</cp:coreProperties>
</file>