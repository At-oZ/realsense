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"/>
    </mc:Choice>
  </mc:AlternateContent>
  <xr:revisionPtr revIDLastSave="0" documentId="13_ncr:1_{42600BF1-B43A-484E-B204-BB5BA27C7668}" xr6:coauthVersionLast="47" xr6:coauthVersionMax="47" xr10:uidLastSave="{00000000-0000-0000-0000-000000000000}"/>
  <bookViews>
    <workbookView xWindow="-60" yWindow="-60" windowWidth="28920" windowHeight="16320" xr2:uid="{39401549-E949-4780-925E-04259F67A960}"/>
  </bookViews>
  <sheets>
    <sheet name="f8.4" sheetId="1" r:id="rId1"/>
    <sheet name="f13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G2" i="2"/>
  <c r="F2" i="2"/>
  <c r="E2" i="2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<sst xmlns="http://schemas.openxmlformats.org/spreadsheetml/2006/main" count="38" uniqueCount="9">
  <si>
    <t>subz</t>
    <phoneticPr fontId="1"/>
  </si>
  <si>
    <t>tileZ</t>
    <phoneticPr fontId="1"/>
  </si>
  <si>
    <t>tileSize</t>
    <phoneticPr fontId="1"/>
  </si>
  <si>
    <t>f</t>
    <phoneticPr fontId="1"/>
  </si>
  <si>
    <t>tileSize/203</t>
    <phoneticPr fontId="1"/>
  </si>
  <si>
    <t>tileZ/subz</t>
    <phoneticPr fontId="1"/>
  </si>
  <si>
    <t>(tileSize-203)/subz</t>
    <phoneticPr fontId="1"/>
  </si>
  <si>
    <t>x</t>
    <phoneticPr fontId="1"/>
  </si>
  <si>
    <t>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</si>
</sst>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'f8.4'!$A$2:$A$10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xVal>
          <c:yVal>
            <c:numRef>
              <c:f>'f8.4'!$B$2:$B$10</c:f>
              <c:numCache>
                <c:formatCode>General</c:formatCode>
                <c:ptCount val="9"/>
                <c:pt idx="0">
                  <c:v>114</c:v>
                </c:pt>
                <c:pt idx="1">
                  <c:v>198</c:v>
                </c:pt>
                <c:pt idx="2">
                  <c:v>269</c:v>
                </c:pt>
                <c:pt idx="3">
                  <c:v>352</c:v>
                </c:pt>
                <c:pt idx="4">
                  <c:v>436</c:v>
                </c:pt>
                <c:pt idx="5">
                  <c:v>590</c:v>
                </c:pt>
                <c:pt idx="6">
                  <c:v>690</c:v>
                </c:pt>
                <c:pt idx="7">
                  <c:v>860</c:v>
                </c:pt>
                <c:pt idx="8">
                  <c:v>1020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8B-4E7E-BB15-E3BA9C14D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672672"/>
        <c:axId val="340673632"/>
      </c:scatterChart>
      <c:valAx>
        <c:axId val="34067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0673632"/>
        <c:crosses val="autoZero"/>
        <c:crossBetween val="midCat"/>
      </c:valAx>
      <c:valAx>
        <c:axId val="3406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067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'f8.4'!$A$2:$A$10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xVal>
          <c:yVal>
            <c:numRef>
              <c:f>'f8.4'!$C$2:$C$10</c:f>
              <c:numCache>
                <c:formatCode>General</c:formatCode>
                <c:ptCount val="9"/>
                <c:pt idx="0">
                  <c:v>216</c:v>
                </c:pt>
                <c:pt idx="1">
                  <c:v>231</c:v>
                </c:pt>
                <c:pt idx="2">
                  <c:v>248</c:v>
                </c:pt>
                <c:pt idx="3">
                  <c:v>263</c:v>
                </c:pt>
                <c:pt idx="4">
                  <c:v>272</c:v>
                </c:pt>
                <c:pt idx="5">
                  <c:v>303</c:v>
                </c:pt>
                <c:pt idx="6">
                  <c:v>326</c:v>
                </c:pt>
                <c:pt idx="7">
                  <c:v>342</c:v>
                </c:pt>
                <c:pt idx="8">
                  <c:v>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6-4E93-8879-27D0A3AD7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715344"/>
        <c:axId val="346715824"/>
      </c:scatterChart>
      <c:valAx>
        <c:axId val="3467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715824"/>
        <c:crosses val="autoZero"/>
        <c:crossBetween val="midCat"/>
      </c:valAx>
      <c:valAx>
        <c:axId val="34671582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71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'f8.4'!$A$2:$A$10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xVal>
          <c:yVal>
            <c:numRef>
              <c:f>'f8.4'!$F$2:$F$10</c:f>
              <c:numCache>
                <c:formatCode>General</c:formatCode>
                <c:ptCount val="9"/>
                <c:pt idx="0">
                  <c:v>1.0640394088669951</c:v>
                </c:pt>
                <c:pt idx="1">
                  <c:v>1.1379310344827587</c:v>
                </c:pt>
                <c:pt idx="2">
                  <c:v>1.2216748768472907</c:v>
                </c:pt>
                <c:pt idx="3">
                  <c:v>1.2955665024630543</c:v>
                </c:pt>
                <c:pt idx="4">
                  <c:v>1.3399014778325122</c:v>
                </c:pt>
                <c:pt idx="5">
                  <c:v>1.4926108374384237</c:v>
                </c:pt>
                <c:pt idx="6">
                  <c:v>1.6059113300492611</c:v>
                </c:pt>
                <c:pt idx="7">
                  <c:v>1.6847290640394088</c:v>
                </c:pt>
                <c:pt idx="8">
                  <c:v>1.7881773399014778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4-429A-B479-61F1E5C5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478160"/>
        <c:axId val="343478640"/>
      </c:scatterChart>
      <c:valAx>
        <c:axId val="3434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3478640"/>
        <c:crosses val="autoZero"/>
        <c:crossBetween val="midCat"/>
      </c:valAx>
      <c:valAx>
        <c:axId val="34347864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347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'f13.0'!$A$2:$A$10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xVal>
          <c:yVal>
            <c:numRef>
              <c:f>'f13.0'!$B$2:$B$10</c:f>
              <c:numCache>
                <c:formatCode>General</c:formatCode>
                <c:ptCount val="9"/>
                <c:pt idx="0">
                  <c:v>187</c:v>
                </c:pt>
                <c:pt idx="1">
                  <c:v>310</c:v>
                </c:pt>
                <c:pt idx="2">
                  <c:v>430</c:v>
                </c:pt>
                <c:pt idx="3">
                  <c:v>560</c:v>
                </c:pt>
                <c:pt idx="4">
                  <c:v>710</c:v>
                </c:pt>
                <c:pt idx="5">
                  <c:v>910</c:v>
                </c:pt>
                <c:pt idx="6">
                  <c:v>1080</c:v>
                </c:pt>
                <c:pt idx="7">
                  <c:v>1260</c:v>
                </c:pt>
                <c:pt idx="8">
                  <c:v>1470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35-455B-BCFB-6FFCD6450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672672"/>
        <c:axId val="340673632"/>
      </c:scatterChart>
      <c:valAx>
        <c:axId val="34067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0673632"/>
        <c:crosses val="autoZero"/>
        <c:crossBetween val="midCat"/>
      </c:valAx>
      <c:valAx>
        <c:axId val="3406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067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'f13.0'!$A$2:$A$10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xVal>
          <c:yVal>
            <c:numRef>
              <c:f>'f13.0'!$C$2:$C$10</c:f>
              <c:numCache>
                <c:formatCode>General</c:formatCode>
                <c:ptCount val="9"/>
                <c:pt idx="0">
                  <c:v>220</c:v>
                </c:pt>
                <c:pt idx="1">
                  <c:v>234</c:v>
                </c:pt>
                <c:pt idx="2">
                  <c:v>252</c:v>
                </c:pt>
                <c:pt idx="3">
                  <c:v>264</c:v>
                </c:pt>
                <c:pt idx="4">
                  <c:v>274</c:v>
                </c:pt>
                <c:pt idx="5">
                  <c:v>301</c:v>
                </c:pt>
                <c:pt idx="6">
                  <c:v>313</c:v>
                </c:pt>
                <c:pt idx="7">
                  <c:v>333</c:v>
                </c:pt>
                <c:pt idx="8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8-4099-A40A-B792011CA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715344"/>
        <c:axId val="346715824"/>
      </c:scatterChart>
      <c:valAx>
        <c:axId val="3467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715824"/>
        <c:crosses val="autoZero"/>
        <c:crossBetween val="midCat"/>
      </c:valAx>
      <c:valAx>
        <c:axId val="34671582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71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'f13.0'!$A$2:$A$10</c:f>
              <c:numCache>
                <c:formatCode>General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</c:numCache>
            </c:numRef>
          </c:xVal>
          <c:yVal>
            <c:numRef>
              <c:f>'f13.0'!$F$2:$F$10</c:f>
              <c:numCache>
                <c:formatCode>General</c:formatCode>
                <c:ptCount val="9"/>
                <c:pt idx="0">
                  <c:v>1.083743842364532</c:v>
                </c:pt>
                <c:pt idx="1">
                  <c:v>1.1527093596059113</c:v>
                </c:pt>
                <c:pt idx="2">
                  <c:v>1.2413793103448276</c:v>
                </c:pt>
                <c:pt idx="3">
                  <c:v>1.3004926108374384</c:v>
                </c:pt>
                <c:pt idx="4">
                  <c:v>1.3497536945812807</c:v>
                </c:pt>
                <c:pt idx="5">
                  <c:v>1.4827586206896552</c:v>
                </c:pt>
                <c:pt idx="6">
                  <c:v>1.541871921182266</c:v>
                </c:pt>
                <c:pt idx="7">
                  <c:v>1.6403940886699508</c:v>
                </c:pt>
                <c:pt idx="8">
                  <c:v>1.7241379310344827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E7-490D-9D28-2BAC57FE3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478160"/>
        <c:axId val="343478640"/>
      </c:scatterChart>
      <c:valAx>
        <c:axId val="3434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3478640"/>
        <c:crosses val="autoZero"/>
        <c:crossBetween val="midCat"/>
      </c:valAx>
      <c:valAx>
        <c:axId val="34347864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347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419100</xdr:colOff>
      <xdr:row>25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700206-977F-4970-AF75-1FFD127E4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609600</xdr:colOff>
      <xdr:row>25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4BB36DD-DA83-A541-45F1-F6270F920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22</xdr:col>
      <xdr:colOff>609600</xdr:colOff>
      <xdr:row>25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DA4C86E-D487-F089-9278-6C5D2E527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419100</xdr:colOff>
      <xdr:row>25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BB8023-84CD-4661-B504-59361B959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609600</xdr:colOff>
      <xdr:row>25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57294C3-5669-480A-A68D-E390C5D39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22</xdr:col>
      <xdr:colOff>609600</xdr:colOff>
      <xdr:row>25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FF8B955-F1F4-4A77-BD50-3F65811EA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AEA2-F8E7-4E9A-B0EC-C2E377D64B10}">
  <dimension ref="A1:R13"/>
  <sheetViews>
    <sheetView tabSelected="1" workbookViewId="0">
      <selection activeCell="T4" sqref="T4"/>
    </sheetView>
  </sheetViews>
  <sheetFormatPr defaultRowHeight="18" x14ac:dyDescent="0.55000000000000004"/>
  <cols>
    <col min="5" max="5" width="11.164062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18" x14ac:dyDescent="0.55000000000000004">
      <c r="A2">
        <v>100</v>
      </c>
      <c r="B2">
        <v>114</v>
      </c>
      <c r="C2">
        <v>216</v>
      </c>
      <c r="D2">
        <v>8.4</v>
      </c>
      <c r="E2">
        <f>B2/A2</f>
        <v>1.1399999999999999</v>
      </c>
      <c r="F2">
        <f>C2/203</f>
        <v>1.0640394088669951</v>
      </c>
      <c r="G2">
        <f>(C2-203)/A2</f>
        <v>0.13</v>
      </c>
    </row>
    <row r="3" spans="1:18" x14ac:dyDescent="0.55000000000000004">
      <c r="A3">
        <v>150</v>
      </c>
      <c r="B3">
        <v>198</v>
      </c>
      <c r="C3">
        <v>231</v>
      </c>
      <c r="D3">
        <v>8.4</v>
      </c>
      <c r="E3">
        <f t="shared" ref="E3:E10" si="0">B3/A3</f>
        <v>1.32</v>
      </c>
      <c r="F3">
        <f t="shared" ref="F3:F10" si="1">C3/203</f>
        <v>1.1379310344827587</v>
      </c>
      <c r="G3">
        <f t="shared" ref="G3:G10" si="2">(C3-203)/A3</f>
        <v>0.18666666666666668</v>
      </c>
    </row>
    <row r="4" spans="1:18" x14ac:dyDescent="0.55000000000000004">
      <c r="A4">
        <v>200</v>
      </c>
      <c r="B4">
        <v>269</v>
      </c>
      <c r="C4">
        <v>248</v>
      </c>
      <c r="D4">
        <v>8.4</v>
      </c>
      <c r="E4">
        <f t="shared" si="0"/>
        <v>1.345</v>
      </c>
      <c r="F4">
        <f t="shared" si="1"/>
        <v>1.2216748768472907</v>
      </c>
      <c r="G4">
        <f t="shared" si="2"/>
        <v>0.22500000000000001</v>
      </c>
    </row>
    <row r="5" spans="1:18" x14ac:dyDescent="0.55000000000000004">
      <c r="A5">
        <v>250</v>
      </c>
      <c r="B5">
        <v>352</v>
      </c>
      <c r="C5">
        <v>263</v>
      </c>
      <c r="D5">
        <v>8.4</v>
      </c>
      <c r="E5">
        <f t="shared" si="0"/>
        <v>1.4079999999999999</v>
      </c>
      <c r="F5">
        <f t="shared" si="1"/>
        <v>1.2955665024630543</v>
      </c>
      <c r="G5">
        <f t="shared" si="2"/>
        <v>0.24</v>
      </c>
    </row>
    <row r="6" spans="1:18" x14ac:dyDescent="0.55000000000000004">
      <c r="A6">
        <v>300</v>
      </c>
      <c r="B6">
        <v>436</v>
      </c>
      <c r="C6">
        <v>272</v>
      </c>
      <c r="D6">
        <v>8.4</v>
      </c>
      <c r="E6">
        <f t="shared" si="0"/>
        <v>1.4533333333333334</v>
      </c>
      <c r="F6">
        <f t="shared" si="1"/>
        <v>1.3399014778325122</v>
      </c>
      <c r="G6">
        <f t="shared" si="2"/>
        <v>0.23</v>
      </c>
    </row>
    <row r="7" spans="1:18" x14ac:dyDescent="0.55000000000000004">
      <c r="A7">
        <v>350</v>
      </c>
      <c r="B7">
        <v>590</v>
      </c>
      <c r="C7">
        <v>303</v>
      </c>
      <c r="D7">
        <v>8.4</v>
      </c>
      <c r="E7">
        <f t="shared" si="0"/>
        <v>1.6857142857142857</v>
      </c>
      <c r="F7">
        <f t="shared" si="1"/>
        <v>1.4926108374384237</v>
      </c>
      <c r="G7">
        <f t="shared" si="2"/>
        <v>0.2857142857142857</v>
      </c>
    </row>
    <row r="8" spans="1:18" x14ac:dyDescent="0.55000000000000004">
      <c r="A8">
        <v>400</v>
      </c>
      <c r="B8">
        <v>690</v>
      </c>
      <c r="C8">
        <v>326</v>
      </c>
      <c r="D8">
        <v>8.4</v>
      </c>
      <c r="E8">
        <f t="shared" si="0"/>
        <v>1.7250000000000001</v>
      </c>
      <c r="F8">
        <f t="shared" si="1"/>
        <v>1.6059113300492611</v>
      </c>
      <c r="G8">
        <f t="shared" si="2"/>
        <v>0.3075</v>
      </c>
    </row>
    <row r="9" spans="1:18" x14ac:dyDescent="0.55000000000000004">
      <c r="A9">
        <v>450</v>
      </c>
      <c r="B9">
        <v>860</v>
      </c>
      <c r="C9">
        <v>342</v>
      </c>
      <c r="D9">
        <v>8.4</v>
      </c>
      <c r="E9">
        <f t="shared" si="0"/>
        <v>1.9111111111111112</v>
      </c>
      <c r="F9">
        <f t="shared" si="1"/>
        <v>1.6847290640394088</v>
      </c>
      <c r="G9">
        <f t="shared" si="2"/>
        <v>0.30888888888888888</v>
      </c>
    </row>
    <row r="10" spans="1:18" x14ac:dyDescent="0.55000000000000004">
      <c r="A10">
        <v>500</v>
      </c>
      <c r="B10">
        <v>1020</v>
      </c>
      <c r="C10">
        <v>363</v>
      </c>
      <c r="D10">
        <v>8.4</v>
      </c>
      <c r="E10">
        <f t="shared" si="0"/>
        <v>2.04</v>
      </c>
      <c r="F10">
        <f t="shared" si="1"/>
        <v>1.7881773399014778</v>
      </c>
      <c r="G10">
        <f t="shared" si="2"/>
        <v>0.32</v>
      </c>
    </row>
    <row r="12" spans="1:18" x14ac:dyDescent="0.55000000000000004">
      <c r="A12" t="s">
        <v>7</v>
      </c>
      <c r="B12" t="s">
        <v>0</v>
      </c>
      <c r="I12" t="s">
        <v>7</v>
      </c>
      <c r="J12" t="s">
        <v>0</v>
      </c>
      <c r="Q12" t="s">
        <v>7</v>
      </c>
      <c r="R12" t="s">
        <v>0</v>
      </c>
    </row>
    <row r="13" spans="1:18" x14ac:dyDescent="0.55000000000000004">
      <c r="A13" t="s">
        <v>8</v>
      </c>
      <c r="B13" t="s">
        <v>1</v>
      </c>
      <c r="I13" t="s">
        <v>8</v>
      </c>
      <c r="J13" t="s">
        <v>2</v>
      </c>
      <c r="Q13" t="s">
        <v>8</v>
      </c>
      <c r="R13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41D7-33DD-4D90-8D0A-531F636F73C7}">
  <dimension ref="A1:R13"/>
  <sheetViews>
    <sheetView workbookViewId="0">
      <selection activeCell="R6" sqref="R6"/>
    </sheetView>
  </sheetViews>
  <sheetFormatPr defaultRowHeight="18" x14ac:dyDescent="0.55000000000000004"/>
  <cols>
    <col min="5" max="5" width="11.164062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18" x14ac:dyDescent="0.55000000000000004">
      <c r="A2">
        <v>100</v>
      </c>
      <c r="B2">
        <v>187</v>
      </c>
      <c r="C2">
        <v>220</v>
      </c>
      <c r="D2">
        <v>8.4</v>
      </c>
      <c r="E2">
        <f>B2/A2</f>
        <v>1.87</v>
      </c>
      <c r="F2">
        <f>C2/203</f>
        <v>1.083743842364532</v>
      </c>
      <c r="G2">
        <f>(C2-203)/A2</f>
        <v>0.17</v>
      </c>
    </row>
    <row r="3" spans="1:18" x14ac:dyDescent="0.55000000000000004">
      <c r="A3">
        <v>150</v>
      </c>
      <c r="B3">
        <v>310</v>
      </c>
      <c r="C3">
        <v>234</v>
      </c>
      <c r="D3">
        <v>8.4</v>
      </c>
      <c r="E3">
        <f t="shared" ref="E3:E10" si="0">B3/A3</f>
        <v>2.0666666666666669</v>
      </c>
      <c r="F3">
        <f t="shared" ref="F3:F10" si="1">C3/203</f>
        <v>1.1527093596059113</v>
      </c>
      <c r="G3">
        <f t="shared" ref="G3:G10" si="2">(C3-203)/A3</f>
        <v>0.20666666666666667</v>
      </c>
    </row>
    <row r="4" spans="1:18" x14ac:dyDescent="0.55000000000000004">
      <c r="A4">
        <v>200</v>
      </c>
      <c r="B4">
        <v>430</v>
      </c>
      <c r="C4">
        <v>252</v>
      </c>
      <c r="D4">
        <v>8.4</v>
      </c>
      <c r="E4">
        <f t="shared" si="0"/>
        <v>2.15</v>
      </c>
      <c r="F4">
        <f t="shared" si="1"/>
        <v>1.2413793103448276</v>
      </c>
      <c r="G4">
        <f t="shared" si="2"/>
        <v>0.245</v>
      </c>
    </row>
    <row r="5" spans="1:18" x14ac:dyDescent="0.55000000000000004">
      <c r="A5">
        <v>250</v>
      </c>
      <c r="B5">
        <v>560</v>
      </c>
      <c r="C5">
        <v>264</v>
      </c>
      <c r="D5">
        <v>8.4</v>
      </c>
      <c r="E5">
        <f t="shared" si="0"/>
        <v>2.2400000000000002</v>
      </c>
      <c r="F5">
        <f t="shared" si="1"/>
        <v>1.3004926108374384</v>
      </c>
      <c r="G5">
        <f t="shared" si="2"/>
        <v>0.24399999999999999</v>
      </c>
    </row>
    <row r="6" spans="1:18" x14ac:dyDescent="0.55000000000000004">
      <c r="A6">
        <v>300</v>
      </c>
      <c r="B6">
        <v>710</v>
      </c>
      <c r="C6">
        <v>274</v>
      </c>
      <c r="D6">
        <v>8.4</v>
      </c>
      <c r="E6">
        <f t="shared" si="0"/>
        <v>2.3666666666666667</v>
      </c>
      <c r="F6">
        <f t="shared" si="1"/>
        <v>1.3497536945812807</v>
      </c>
      <c r="G6">
        <f t="shared" si="2"/>
        <v>0.23666666666666666</v>
      </c>
    </row>
    <row r="7" spans="1:18" x14ac:dyDescent="0.55000000000000004">
      <c r="A7">
        <v>350</v>
      </c>
      <c r="B7">
        <v>910</v>
      </c>
      <c r="C7">
        <v>301</v>
      </c>
      <c r="D7">
        <v>8.4</v>
      </c>
      <c r="E7">
        <f t="shared" si="0"/>
        <v>2.6</v>
      </c>
      <c r="F7">
        <f t="shared" si="1"/>
        <v>1.4827586206896552</v>
      </c>
      <c r="G7">
        <f t="shared" si="2"/>
        <v>0.28000000000000003</v>
      </c>
    </row>
    <row r="8" spans="1:18" x14ac:dyDescent="0.55000000000000004">
      <c r="A8">
        <v>400</v>
      </c>
      <c r="B8">
        <v>1080</v>
      </c>
      <c r="C8">
        <v>313</v>
      </c>
      <c r="D8">
        <v>8.4</v>
      </c>
      <c r="E8">
        <f t="shared" si="0"/>
        <v>2.7</v>
      </c>
      <c r="F8">
        <f t="shared" si="1"/>
        <v>1.541871921182266</v>
      </c>
      <c r="G8">
        <f t="shared" si="2"/>
        <v>0.27500000000000002</v>
      </c>
    </row>
    <row r="9" spans="1:18" x14ac:dyDescent="0.55000000000000004">
      <c r="A9">
        <v>450</v>
      </c>
      <c r="B9">
        <v>1260</v>
      </c>
      <c r="C9">
        <v>333</v>
      </c>
      <c r="D9">
        <v>8.4</v>
      </c>
      <c r="E9">
        <f t="shared" si="0"/>
        <v>2.8</v>
      </c>
      <c r="F9">
        <f t="shared" si="1"/>
        <v>1.6403940886699508</v>
      </c>
      <c r="G9">
        <f t="shared" si="2"/>
        <v>0.28888888888888886</v>
      </c>
    </row>
    <row r="10" spans="1:18" x14ac:dyDescent="0.55000000000000004">
      <c r="A10">
        <v>500</v>
      </c>
      <c r="B10">
        <v>1470</v>
      </c>
      <c r="C10">
        <v>350</v>
      </c>
      <c r="D10">
        <v>8.4</v>
      </c>
      <c r="E10">
        <f t="shared" si="0"/>
        <v>2.94</v>
      </c>
      <c r="F10">
        <f t="shared" si="1"/>
        <v>1.7241379310344827</v>
      </c>
      <c r="G10">
        <f t="shared" si="2"/>
        <v>0.29399999999999998</v>
      </c>
    </row>
    <row r="12" spans="1:18" x14ac:dyDescent="0.55000000000000004">
      <c r="A12" t="s">
        <v>7</v>
      </c>
      <c r="B12" t="s">
        <v>0</v>
      </c>
      <c r="I12" t="s">
        <v>7</v>
      </c>
      <c r="J12" t="s">
        <v>0</v>
      </c>
      <c r="Q12" t="s">
        <v>7</v>
      </c>
      <c r="R12" t="s">
        <v>0</v>
      </c>
    </row>
    <row r="13" spans="1:18" x14ac:dyDescent="0.55000000000000004">
      <c r="A13" t="s">
        <v>8</v>
      </c>
      <c r="B13" t="s">
        <v>1</v>
      </c>
      <c r="I13" t="s">
        <v>8</v>
      </c>
      <c r="J13" t="s">
        <v>2</v>
      </c>
      <c r="Q13" t="s">
        <v>8</v>
      </c>
      <c r="R13" t="s">
        <v>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f8.4</vt:lpstr>
      <vt:lpstr>f13.0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哲生 渡辺</dc:creator>
  <cp:lastModifiedBy>哲生 渡辺</cp:lastModifiedBy>
  <dcterms:created xsi:type="dcterms:W3CDTF">2025-05-22T01:45:31Z</dcterms:created>
  <dcterms:modified xsi:type="dcterms:W3CDTF">2025-05-22T04:17:38Z</dcterms:modified>
</cp:coreProperties>
</file>