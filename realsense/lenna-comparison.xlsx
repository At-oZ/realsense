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w11\source\repos2\At-oZ\realsense\realsense\"/>
    </mc:Choice>
  </mc:AlternateContent>
  <xr:revisionPtr revIDLastSave="0" documentId="13_ncr:1_{253159F3-099E-473E-800F-E9E78C57FFFA}" xr6:coauthVersionLast="47" xr6:coauthVersionMax="47" xr10:uidLastSave="{00000000-0000-0000-0000-000000000000}"/>
  <bookViews>
    <workbookView xWindow="15240" yWindow="2130" windowWidth="21640" windowHeight="11200" tabRatio="858" activeTab="4" xr2:uid="{38453D22-5EDA-4514-B3CA-3C52C5A492DB}"/>
  </bookViews>
  <sheets>
    <sheet name="Sheet1" sheetId="1" r:id="rId1"/>
    <sheet name="Sheet2" sheetId="2" r:id="rId2"/>
    <sheet name="nph40,80,160" sheetId="3" r:id="rId3"/>
    <sheet name="nph40,80,160 prop comparison" sheetId="4" r:id="rId4"/>
    <sheet name="nph40,80,160 prop DP comparis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5" l="1"/>
  <c r="G4" i="5"/>
  <c r="G5" i="5"/>
  <c r="G6" i="5"/>
  <c r="G7" i="5"/>
  <c r="G8" i="5"/>
  <c r="G9" i="5"/>
  <c r="G10" i="5"/>
  <c r="G11" i="5"/>
  <c r="F4" i="5"/>
  <c r="F5" i="5"/>
  <c r="F6" i="5"/>
  <c r="F7" i="5"/>
  <c r="F8" i="5"/>
  <c r="F9" i="5"/>
  <c r="F10" i="5"/>
  <c r="F11" i="5"/>
  <c r="F3" i="5"/>
  <c r="BL54" i="4"/>
  <c r="BK54" i="4"/>
  <c r="BL45" i="4"/>
  <c r="BK45" i="4"/>
  <c r="BL44" i="4"/>
  <c r="BK44" i="4"/>
  <c r="BL55" i="4"/>
  <c r="BK55" i="4"/>
  <c r="BL50" i="4"/>
  <c r="BK50" i="4"/>
  <c r="BL51" i="4"/>
  <c r="BK51" i="4"/>
  <c r="BL49" i="4"/>
  <c r="BK49" i="4"/>
  <c r="BL27" i="4"/>
  <c r="BK27" i="4"/>
  <c r="BL25" i="4"/>
  <c r="BK25" i="4"/>
  <c r="BL53" i="4"/>
  <c r="BK53" i="4"/>
  <c r="BL52" i="4"/>
  <c r="BK52" i="4"/>
  <c r="BL42" i="4"/>
  <c r="BK42" i="4"/>
  <c r="BL40" i="4"/>
  <c r="BK40" i="4"/>
  <c r="BL38" i="4"/>
  <c r="BK38" i="4"/>
  <c r="BL34" i="4"/>
  <c r="BK34" i="4"/>
  <c r="BL18" i="4"/>
  <c r="BK18" i="4"/>
  <c r="BL39" i="4"/>
  <c r="BK39" i="4"/>
  <c r="BL31" i="4"/>
  <c r="BK31" i="4"/>
  <c r="BL48" i="4"/>
  <c r="BK48" i="4"/>
  <c r="BL33" i="4"/>
  <c r="BK33" i="4"/>
  <c r="BL41" i="4"/>
  <c r="BK41" i="4"/>
  <c r="BL37" i="4"/>
  <c r="BK37" i="4"/>
  <c r="BL13" i="4"/>
  <c r="BK13" i="4"/>
  <c r="BL24" i="4"/>
  <c r="BK24" i="4"/>
  <c r="BL28" i="4"/>
  <c r="BK28" i="4"/>
  <c r="BL11" i="4"/>
  <c r="BK11" i="4"/>
  <c r="BL16" i="4"/>
  <c r="BK16" i="4"/>
  <c r="BL20" i="4"/>
  <c r="BK20" i="4"/>
  <c r="BL22" i="4"/>
  <c r="BK22" i="4"/>
  <c r="BL47" i="4"/>
  <c r="BK47" i="4"/>
  <c r="BL46" i="4"/>
  <c r="BK46" i="4"/>
  <c r="BL23" i="4"/>
  <c r="BK23" i="4"/>
  <c r="BL10" i="4"/>
  <c r="BK10" i="4"/>
  <c r="BL7" i="4"/>
  <c r="BK7" i="4"/>
  <c r="BL15" i="4"/>
  <c r="BK15" i="4"/>
  <c r="BL43" i="4"/>
  <c r="BK43" i="4"/>
  <c r="BL19" i="4"/>
  <c r="BK19" i="4"/>
  <c r="BL36" i="4"/>
  <c r="BK36" i="4"/>
  <c r="BL29" i="4"/>
  <c r="BK29" i="4"/>
  <c r="BL9" i="4"/>
  <c r="BK9" i="4"/>
  <c r="BL35" i="4"/>
  <c r="BK35" i="4"/>
  <c r="BL32" i="4"/>
  <c r="BK32" i="4"/>
  <c r="BL30" i="4"/>
  <c r="BK30" i="4"/>
  <c r="BL21" i="4"/>
  <c r="BK21" i="4"/>
  <c r="BL8" i="4"/>
  <c r="BK8" i="4"/>
  <c r="BL17" i="4"/>
  <c r="BK17" i="4"/>
  <c r="BL26" i="4"/>
  <c r="BK26" i="4"/>
  <c r="BL14" i="4"/>
  <c r="BK14" i="4"/>
  <c r="BL12" i="4"/>
  <c r="BK12" i="4"/>
  <c r="BL4" i="4"/>
  <c r="BK4" i="4"/>
  <c r="BL6" i="4"/>
  <c r="BK6" i="4"/>
  <c r="BL5" i="4"/>
  <c r="BK5" i="4"/>
  <c r="BL3" i="4"/>
  <c r="BK3" i="4"/>
  <c r="BL2" i="4"/>
  <c r="BK2" i="4"/>
  <c r="BA55" i="4"/>
  <c r="AZ55" i="4"/>
  <c r="BA50" i="4"/>
  <c r="AZ50" i="4"/>
  <c r="BA49" i="4"/>
  <c r="AZ49" i="4"/>
  <c r="BA54" i="4"/>
  <c r="AZ54" i="4"/>
  <c r="BA52" i="4"/>
  <c r="AZ52" i="4"/>
  <c r="BA53" i="4"/>
  <c r="AZ53" i="4"/>
  <c r="BA51" i="4"/>
  <c r="AZ51" i="4"/>
  <c r="BA45" i="4"/>
  <c r="AZ45" i="4"/>
  <c r="BA44" i="4"/>
  <c r="AZ44" i="4"/>
  <c r="BA48" i="4"/>
  <c r="AZ48" i="4"/>
  <c r="BA46" i="4"/>
  <c r="AZ46" i="4"/>
  <c r="BA47" i="4"/>
  <c r="AZ47" i="4"/>
  <c r="BA41" i="4"/>
  <c r="AZ41" i="4"/>
  <c r="BA37" i="4"/>
  <c r="AZ37" i="4"/>
  <c r="BA42" i="4"/>
  <c r="AZ42" i="4"/>
  <c r="BA32" i="4"/>
  <c r="AZ32" i="4"/>
  <c r="BA43" i="4"/>
  <c r="AZ43" i="4"/>
  <c r="BA28" i="4"/>
  <c r="AZ28" i="4"/>
  <c r="BA31" i="4"/>
  <c r="AZ31" i="4"/>
  <c r="BA26" i="4"/>
  <c r="AZ26" i="4"/>
  <c r="BA35" i="4"/>
  <c r="AZ35" i="4"/>
  <c r="BA36" i="4"/>
  <c r="AZ36" i="4"/>
  <c r="BA34" i="4"/>
  <c r="AZ34" i="4"/>
  <c r="BA33" i="4"/>
  <c r="AZ33" i="4"/>
  <c r="BA39" i="4"/>
  <c r="AZ39" i="4"/>
  <c r="BA23" i="4"/>
  <c r="AZ23" i="4"/>
  <c r="BA30" i="4"/>
  <c r="AZ30" i="4"/>
  <c r="BA29" i="4"/>
  <c r="AZ29" i="4"/>
  <c r="BA22" i="4"/>
  <c r="AZ22" i="4"/>
  <c r="BA40" i="4"/>
  <c r="AZ40" i="4"/>
  <c r="BA38" i="4"/>
  <c r="AZ38" i="4"/>
  <c r="BA21" i="4"/>
  <c r="AZ21" i="4"/>
  <c r="BA25" i="4"/>
  <c r="AZ25" i="4"/>
  <c r="BA18" i="4"/>
  <c r="AZ18" i="4"/>
  <c r="BA17" i="4"/>
  <c r="AZ17" i="4"/>
  <c r="BA27" i="4"/>
  <c r="AZ27" i="4"/>
  <c r="BA16" i="4"/>
  <c r="AZ16" i="4"/>
  <c r="BA24" i="4"/>
  <c r="AZ24" i="4"/>
  <c r="BA20" i="4"/>
  <c r="AZ20" i="4"/>
  <c r="BA13" i="4"/>
  <c r="AZ13" i="4"/>
  <c r="BA15" i="4"/>
  <c r="AZ15" i="4"/>
  <c r="BA19" i="4"/>
  <c r="AZ19" i="4"/>
  <c r="BA14" i="4"/>
  <c r="AZ14" i="4"/>
  <c r="BA9" i="4"/>
  <c r="AZ9" i="4"/>
  <c r="BA10" i="4"/>
  <c r="AZ10" i="4"/>
  <c r="BA12" i="4"/>
  <c r="AZ12" i="4"/>
  <c r="BA11" i="4"/>
  <c r="AZ11" i="4"/>
  <c r="BA8" i="4"/>
  <c r="AZ8" i="4"/>
  <c r="BA6" i="4"/>
  <c r="AZ6" i="4"/>
  <c r="BA7" i="4"/>
  <c r="AZ7" i="4"/>
  <c r="BA5" i="4"/>
  <c r="AZ5" i="4"/>
  <c r="BA4" i="4"/>
  <c r="AZ4" i="4"/>
  <c r="BA3" i="4"/>
  <c r="AZ3" i="4"/>
  <c r="BA2" i="4"/>
  <c r="AZ2" i="4"/>
  <c r="T64" i="4"/>
  <c r="S64" i="4"/>
  <c r="T66" i="4"/>
  <c r="S66" i="4"/>
  <c r="T61" i="4"/>
  <c r="S61" i="4"/>
  <c r="T62" i="4"/>
  <c r="S62" i="4"/>
  <c r="T60" i="4"/>
  <c r="S60" i="4"/>
  <c r="T58" i="4"/>
  <c r="S58" i="4"/>
  <c r="AP52" i="4"/>
  <c r="AO52" i="4"/>
  <c r="AP20" i="4"/>
  <c r="AO20" i="4"/>
  <c r="AP37" i="4"/>
  <c r="AO37" i="4"/>
  <c r="AP26" i="4"/>
  <c r="AO26" i="4"/>
  <c r="AP45" i="4"/>
  <c r="AO45" i="4"/>
  <c r="AP25" i="4"/>
  <c r="AO25" i="4"/>
  <c r="AP55" i="4"/>
  <c r="AO55" i="4"/>
  <c r="AP46" i="4"/>
  <c r="AO46" i="4"/>
  <c r="AP15" i="4"/>
  <c r="AO15" i="4"/>
  <c r="AP14" i="4"/>
  <c r="AO14" i="4"/>
  <c r="AP9" i="4"/>
  <c r="AO9" i="4"/>
  <c r="AP13" i="4"/>
  <c r="AO13" i="4"/>
  <c r="AP50" i="4"/>
  <c r="AO50" i="4"/>
  <c r="AP18" i="4"/>
  <c r="AO18" i="4"/>
  <c r="AP17" i="4"/>
  <c r="AO17" i="4"/>
  <c r="AP4" i="4"/>
  <c r="AO4" i="4"/>
  <c r="AP49" i="4"/>
  <c r="AO49" i="4"/>
  <c r="AP51" i="4"/>
  <c r="AO51" i="4"/>
  <c r="AP7" i="4"/>
  <c r="AO7" i="4"/>
  <c r="AP12" i="4"/>
  <c r="AO12" i="4"/>
  <c r="AP35" i="4"/>
  <c r="AO35" i="4"/>
  <c r="AP3" i="4"/>
  <c r="AO3" i="4"/>
  <c r="AP10" i="4"/>
  <c r="AO10" i="4"/>
  <c r="AP8" i="4"/>
  <c r="AO8" i="4"/>
  <c r="AP5" i="4"/>
  <c r="AO5" i="4"/>
  <c r="AP2" i="4"/>
  <c r="AO2" i="4"/>
  <c r="AP34" i="4"/>
  <c r="AO34" i="4"/>
  <c r="AP39" i="4"/>
  <c r="AO39" i="4"/>
  <c r="AP36" i="4"/>
  <c r="AO36" i="4"/>
  <c r="AP19" i="4"/>
  <c r="AO19" i="4"/>
  <c r="AP44" i="4"/>
  <c r="AO44" i="4"/>
  <c r="AP54" i="4"/>
  <c r="AO54" i="4"/>
  <c r="AP43" i="4"/>
  <c r="AO43" i="4"/>
  <c r="AP31" i="4"/>
  <c r="AO31" i="4"/>
  <c r="AP38" i="4"/>
  <c r="AO38" i="4"/>
  <c r="AP53" i="4"/>
  <c r="AO53" i="4"/>
  <c r="AP42" i="4"/>
  <c r="AO42" i="4"/>
  <c r="AP6" i="4"/>
  <c r="AO6" i="4"/>
  <c r="AP24" i="4"/>
  <c r="AO24" i="4"/>
  <c r="AP41" i="4"/>
  <c r="AO41" i="4"/>
  <c r="AP11" i="4"/>
  <c r="AO11" i="4"/>
  <c r="AP27" i="4"/>
  <c r="AO27" i="4"/>
  <c r="AP21" i="4"/>
  <c r="AO21" i="4"/>
  <c r="AP32" i="4"/>
  <c r="AO32" i="4"/>
  <c r="AP28" i="4"/>
  <c r="AO28" i="4"/>
  <c r="AP16" i="4"/>
  <c r="AO16" i="4"/>
  <c r="AP29" i="4"/>
  <c r="AO29" i="4"/>
  <c r="AP40" i="4"/>
  <c r="AO40" i="4"/>
  <c r="AP48" i="4"/>
  <c r="AO48" i="4"/>
  <c r="AP22" i="4"/>
  <c r="AO22" i="4"/>
  <c r="AP47" i="4"/>
  <c r="AO47" i="4"/>
  <c r="AP23" i="4"/>
  <c r="AO23" i="4"/>
  <c r="AP30" i="4"/>
  <c r="AO30" i="4"/>
  <c r="AP33" i="4"/>
  <c r="AO33" i="4"/>
  <c r="AE55" i="4"/>
  <c r="AD55" i="4"/>
  <c r="AE52" i="4"/>
  <c r="AD52" i="4"/>
  <c r="AE29" i="4"/>
  <c r="AD29" i="4"/>
  <c r="AE53" i="4"/>
  <c r="AD53" i="4"/>
  <c r="AE26" i="4"/>
  <c r="AD26" i="4"/>
  <c r="AE51" i="4"/>
  <c r="AD51" i="4"/>
  <c r="AE54" i="4"/>
  <c r="AD54" i="4"/>
  <c r="AE25" i="4"/>
  <c r="AD25" i="4"/>
  <c r="AE24" i="4"/>
  <c r="AD24" i="4"/>
  <c r="AE49" i="4"/>
  <c r="AD49" i="4"/>
  <c r="AE31" i="4"/>
  <c r="AD31" i="4"/>
  <c r="AE30" i="4"/>
  <c r="AD30" i="4"/>
  <c r="AE47" i="4"/>
  <c r="AD47" i="4"/>
  <c r="AE50" i="4"/>
  <c r="AD50" i="4"/>
  <c r="AE48" i="4"/>
  <c r="AD48" i="4"/>
  <c r="AE32" i="4"/>
  <c r="AD32" i="4"/>
  <c r="AE45" i="4"/>
  <c r="AD45" i="4"/>
  <c r="AE46" i="4"/>
  <c r="AD46" i="4"/>
  <c r="AE3" i="4"/>
  <c r="AD3" i="4"/>
  <c r="AE2" i="4"/>
  <c r="AD2" i="4"/>
  <c r="AE34" i="4"/>
  <c r="AD34" i="4"/>
  <c r="AE28" i="4"/>
  <c r="AD28" i="4"/>
  <c r="AE27" i="4"/>
  <c r="AD27" i="4"/>
  <c r="AE4" i="4"/>
  <c r="AD4" i="4"/>
  <c r="AE6" i="4"/>
  <c r="AD6" i="4"/>
  <c r="AE20" i="4"/>
  <c r="AD20" i="4"/>
  <c r="AE35" i="4"/>
  <c r="AD35" i="4"/>
  <c r="AE40" i="4"/>
  <c r="AD40" i="4"/>
  <c r="AE7" i="4"/>
  <c r="AD7" i="4"/>
  <c r="AE5" i="4"/>
  <c r="AD5" i="4"/>
  <c r="AE36" i="4"/>
  <c r="AD36" i="4"/>
  <c r="AE42" i="4"/>
  <c r="AD42" i="4"/>
  <c r="AE17" i="4"/>
  <c r="AD17" i="4"/>
  <c r="AE44" i="4"/>
  <c r="AD44" i="4"/>
  <c r="AE9" i="4"/>
  <c r="AD9" i="4"/>
  <c r="AE39" i="4"/>
  <c r="AD39" i="4"/>
  <c r="AE8" i="4"/>
  <c r="AD8" i="4"/>
  <c r="AE23" i="4"/>
  <c r="AD23" i="4"/>
  <c r="AE22" i="4"/>
  <c r="AD22" i="4"/>
  <c r="AE21" i="4"/>
  <c r="AD21" i="4"/>
  <c r="AE12" i="4"/>
  <c r="AD12" i="4"/>
  <c r="AE13" i="4"/>
  <c r="AD13" i="4"/>
  <c r="AE14" i="4"/>
  <c r="AD14" i="4"/>
  <c r="AE37" i="4"/>
  <c r="AD37" i="4"/>
  <c r="AE41" i="4"/>
  <c r="AD41" i="4"/>
  <c r="AE19" i="4"/>
  <c r="AD19" i="4"/>
  <c r="AE43" i="4"/>
  <c r="AD43" i="4"/>
  <c r="AE16" i="4"/>
  <c r="AD16" i="4"/>
  <c r="AE18" i="4"/>
  <c r="AD18" i="4"/>
  <c r="AE10" i="4"/>
  <c r="AD10" i="4"/>
  <c r="AE15" i="4"/>
  <c r="AD15" i="4"/>
  <c r="AE33" i="4"/>
  <c r="AD33" i="4"/>
  <c r="AE11" i="4"/>
  <c r="AD11" i="4"/>
  <c r="AE38" i="4"/>
  <c r="AD38" i="4"/>
  <c r="T30" i="4"/>
  <c r="S30" i="4"/>
  <c r="T34" i="4"/>
  <c r="S34" i="4"/>
  <c r="T40" i="4"/>
  <c r="S40" i="4"/>
  <c r="T31" i="4"/>
  <c r="S31" i="4"/>
  <c r="T18" i="4"/>
  <c r="S18" i="4"/>
  <c r="T37" i="4"/>
  <c r="S37" i="4"/>
  <c r="T32" i="4"/>
  <c r="S32" i="4"/>
  <c r="T45" i="4"/>
  <c r="S45" i="4"/>
  <c r="T33" i="4"/>
  <c r="S33" i="4"/>
  <c r="T15" i="4"/>
  <c r="S15" i="4"/>
  <c r="T36" i="4"/>
  <c r="S36" i="4"/>
  <c r="T44" i="4"/>
  <c r="S44" i="4"/>
  <c r="T46" i="4"/>
  <c r="S46" i="4"/>
  <c r="T47" i="4"/>
  <c r="S47" i="4"/>
  <c r="T10" i="4"/>
  <c r="S10" i="4"/>
  <c r="T41" i="4"/>
  <c r="S41" i="4"/>
  <c r="T42" i="4"/>
  <c r="S42" i="4"/>
  <c r="T26" i="4"/>
  <c r="S26" i="4"/>
  <c r="T54" i="4"/>
  <c r="S54" i="4"/>
  <c r="T13" i="4"/>
  <c r="S13" i="4"/>
  <c r="T6" i="4"/>
  <c r="S6" i="4"/>
  <c r="T4" i="4"/>
  <c r="S4" i="4"/>
  <c r="T17" i="4"/>
  <c r="S17" i="4"/>
  <c r="T50" i="4"/>
  <c r="S50" i="4"/>
  <c r="T52" i="4"/>
  <c r="S52" i="4"/>
  <c r="T14" i="4"/>
  <c r="S14" i="4"/>
  <c r="T11" i="4"/>
  <c r="S11" i="4"/>
  <c r="T9" i="4"/>
  <c r="S9" i="4"/>
  <c r="T3" i="4"/>
  <c r="S3" i="4"/>
  <c r="T22" i="4"/>
  <c r="S22" i="4"/>
  <c r="T12" i="4"/>
  <c r="S12" i="4"/>
  <c r="T2" i="4"/>
  <c r="S2" i="4"/>
  <c r="T29" i="4"/>
  <c r="S29" i="4"/>
  <c r="T35" i="4"/>
  <c r="S35" i="4"/>
  <c r="T27" i="4"/>
  <c r="S27" i="4"/>
  <c r="T53" i="4"/>
  <c r="S53" i="4"/>
  <c r="T21" i="4"/>
  <c r="S21" i="4"/>
  <c r="T28" i="4"/>
  <c r="S28" i="4"/>
  <c r="T8" i="4"/>
  <c r="S8" i="4"/>
  <c r="T16" i="4"/>
  <c r="S16" i="4"/>
  <c r="T19" i="4"/>
  <c r="S19" i="4"/>
  <c r="T23" i="4"/>
  <c r="S23" i="4"/>
  <c r="T25" i="4"/>
  <c r="S25" i="4"/>
  <c r="T51" i="4"/>
  <c r="S51" i="4"/>
  <c r="T48" i="4"/>
  <c r="S48" i="4"/>
  <c r="T5" i="4"/>
  <c r="S5" i="4"/>
  <c r="T7" i="4"/>
  <c r="S7" i="4"/>
  <c r="T39" i="4"/>
  <c r="S39" i="4"/>
  <c r="T43" i="4"/>
  <c r="S43" i="4"/>
  <c r="T38" i="4"/>
  <c r="S38" i="4"/>
  <c r="T55" i="4"/>
  <c r="S55" i="4"/>
  <c r="T20" i="4"/>
  <c r="S20" i="4"/>
  <c r="T24" i="4"/>
  <c r="S24" i="4"/>
  <c r="T49" i="4"/>
  <c r="S49" i="4"/>
  <c r="I87" i="4"/>
  <c r="H87" i="4"/>
  <c r="I77" i="4"/>
  <c r="H77" i="4"/>
  <c r="I72" i="4"/>
  <c r="H72" i="4"/>
  <c r="I53" i="4"/>
  <c r="H53" i="4"/>
  <c r="I46" i="4"/>
  <c r="H46" i="4"/>
  <c r="I78" i="4"/>
  <c r="H78" i="4"/>
  <c r="I67" i="4"/>
  <c r="H67" i="4"/>
  <c r="I60" i="4"/>
  <c r="H60" i="4"/>
  <c r="I39" i="4"/>
  <c r="H39" i="4"/>
  <c r="I29" i="4"/>
  <c r="H29" i="4"/>
  <c r="I76" i="4"/>
  <c r="H76" i="4"/>
  <c r="I64" i="4"/>
  <c r="H64" i="4"/>
  <c r="I58" i="4"/>
  <c r="H58" i="4"/>
  <c r="I42" i="4"/>
  <c r="H42" i="4"/>
  <c r="I28" i="4"/>
  <c r="H28" i="4"/>
  <c r="I69" i="4"/>
  <c r="H69" i="4"/>
  <c r="I52" i="4"/>
  <c r="H52" i="4"/>
  <c r="I45" i="4"/>
  <c r="H45" i="4"/>
  <c r="I22" i="4"/>
  <c r="H22" i="4"/>
  <c r="I13" i="4"/>
  <c r="H13" i="4"/>
  <c r="I47" i="4"/>
  <c r="H47" i="4"/>
  <c r="I25" i="4"/>
  <c r="H25" i="4"/>
  <c r="I20" i="4"/>
  <c r="H20" i="4"/>
  <c r="I10" i="4"/>
  <c r="H10" i="4"/>
  <c r="I5" i="4"/>
  <c r="H5" i="4"/>
  <c r="I38" i="4"/>
  <c r="H38" i="4"/>
  <c r="I24" i="4"/>
  <c r="H24" i="4"/>
  <c r="I18" i="4"/>
  <c r="H18" i="4"/>
  <c r="I9" i="4"/>
  <c r="H9" i="4"/>
  <c r="I4" i="4"/>
  <c r="H4" i="4"/>
  <c r="I90" i="4"/>
  <c r="H90" i="4"/>
  <c r="I85" i="4"/>
  <c r="H85" i="4"/>
  <c r="I81" i="4"/>
  <c r="H81" i="4"/>
  <c r="I63" i="4"/>
  <c r="H63" i="4"/>
  <c r="I51" i="4"/>
  <c r="H51" i="4"/>
  <c r="I80" i="4"/>
  <c r="H80" i="4"/>
  <c r="I68" i="4"/>
  <c r="H68" i="4"/>
  <c r="I61" i="4"/>
  <c r="H61" i="4"/>
  <c r="I40" i="4"/>
  <c r="H40" i="4"/>
  <c r="I31" i="4"/>
  <c r="H31" i="4"/>
  <c r="I75" i="4"/>
  <c r="H75" i="4"/>
  <c r="I62" i="4"/>
  <c r="H62" i="4"/>
  <c r="I54" i="4"/>
  <c r="H54" i="4"/>
  <c r="I37" i="4"/>
  <c r="H37" i="4"/>
  <c r="I26" i="4"/>
  <c r="H26" i="4"/>
  <c r="I83" i="4"/>
  <c r="H83" i="4"/>
  <c r="I66" i="4"/>
  <c r="H66" i="4"/>
  <c r="I55" i="4"/>
  <c r="H55" i="4"/>
  <c r="I34" i="4"/>
  <c r="H34" i="4"/>
  <c r="I16" i="4"/>
  <c r="H16" i="4"/>
  <c r="I48" i="4"/>
  <c r="H48" i="4"/>
  <c r="I27" i="4"/>
  <c r="H27" i="4"/>
  <c r="I21" i="4"/>
  <c r="H21" i="4"/>
  <c r="I12" i="4"/>
  <c r="H12" i="4"/>
  <c r="I6" i="4"/>
  <c r="H6" i="4"/>
  <c r="I35" i="4"/>
  <c r="H35" i="4"/>
  <c r="I19" i="4"/>
  <c r="H19" i="4"/>
  <c r="I14" i="4"/>
  <c r="H14" i="4"/>
  <c r="I7" i="4"/>
  <c r="H7" i="4"/>
  <c r="I2" i="4"/>
  <c r="H2" i="4"/>
  <c r="I91" i="4"/>
  <c r="H91" i="4"/>
  <c r="I88" i="4"/>
  <c r="H88" i="4"/>
  <c r="I86" i="4"/>
  <c r="H86" i="4"/>
  <c r="I71" i="4"/>
  <c r="H71" i="4"/>
  <c r="I57" i="4"/>
  <c r="H57" i="4"/>
  <c r="I84" i="4"/>
  <c r="H84" i="4"/>
  <c r="I73" i="4"/>
  <c r="H73" i="4"/>
  <c r="I70" i="4"/>
  <c r="H70" i="4"/>
  <c r="I49" i="4"/>
  <c r="H49" i="4"/>
  <c r="I36" i="4"/>
  <c r="H36" i="4"/>
  <c r="I79" i="4"/>
  <c r="H79" i="4"/>
  <c r="I65" i="4"/>
  <c r="H65" i="4"/>
  <c r="I59" i="4"/>
  <c r="H59" i="4"/>
  <c r="I44" i="4"/>
  <c r="H44" i="4"/>
  <c r="I30" i="4"/>
  <c r="H30" i="4"/>
  <c r="I89" i="4"/>
  <c r="H89" i="4"/>
  <c r="I82" i="4"/>
  <c r="H82" i="4"/>
  <c r="I74" i="4"/>
  <c r="H74" i="4"/>
  <c r="I50" i="4"/>
  <c r="H50" i="4"/>
  <c r="I32" i="4"/>
  <c r="H32" i="4"/>
  <c r="I56" i="4"/>
  <c r="H56" i="4"/>
  <c r="I43" i="4"/>
  <c r="H43" i="4"/>
  <c r="I33" i="4"/>
  <c r="H33" i="4"/>
  <c r="I15" i="4"/>
  <c r="H15" i="4"/>
  <c r="I8" i="4"/>
  <c r="H8" i="4"/>
  <c r="I41" i="4"/>
  <c r="H41" i="4"/>
  <c r="I23" i="4"/>
  <c r="H23" i="4"/>
  <c r="I17" i="4"/>
  <c r="H17" i="4"/>
  <c r="I11" i="4"/>
  <c r="H11" i="4"/>
  <c r="I3" i="4"/>
  <c r="I92" i="4" s="1"/>
  <c r="I93" i="4" s="1"/>
  <c r="H3" i="4"/>
  <c r="H92" i="4" s="1"/>
  <c r="H93" i="4" s="1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2" i="3"/>
  <c r="S5" i="2"/>
  <c r="R5" i="2"/>
  <c r="S22" i="2"/>
  <c r="R22" i="2"/>
  <c r="S17" i="2"/>
  <c r="R17" i="2"/>
  <c r="S3" i="2"/>
  <c r="R3" i="2"/>
  <c r="S4" i="2"/>
  <c r="R4" i="2"/>
  <c r="S13" i="2"/>
  <c r="R13" i="2"/>
  <c r="S12" i="2"/>
  <c r="R12" i="2"/>
  <c r="S7" i="2"/>
  <c r="R7" i="2"/>
  <c r="S14" i="2"/>
  <c r="R14" i="2"/>
  <c r="S21" i="2"/>
  <c r="R21" i="2"/>
  <c r="S16" i="2"/>
  <c r="R16" i="2"/>
  <c r="S2" i="2"/>
  <c r="R2" i="2"/>
  <c r="S11" i="2"/>
  <c r="R11" i="2"/>
  <c r="S20" i="2"/>
  <c r="R20" i="2"/>
  <c r="S19" i="2"/>
  <c r="R19" i="2"/>
  <c r="S15" i="2"/>
  <c r="R15" i="2"/>
  <c r="S23" i="2"/>
  <c r="R23" i="2"/>
  <c r="S9" i="2"/>
  <c r="R9" i="2"/>
  <c r="S6" i="2"/>
  <c r="R6" i="2"/>
  <c r="S18" i="2"/>
  <c r="R18" i="2"/>
  <c r="S10" i="2"/>
  <c r="R10" i="2"/>
  <c r="S8" i="2"/>
  <c r="R8" i="2"/>
  <c r="I20" i="2"/>
  <c r="H20" i="2"/>
  <c r="I12" i="2"/>
  <c r="H12" i="2"/>
  <c r="I5" i="2"/>
  <c r="H5" i="2"/>
  <c r="I3" i="2"/>
  <c r="H3" i="2"/>
  <c r="I2" i="2"/>
  <c r="H2" i="2"/>
  <c r="I30" i="2"/>
  <c r="H30" i="2"/>
  <c r="I21" i="2"/>
  <c r="H21" i="2"/>
  <c r="I13" i="2"/>
  <c r="H13" i="2"/>
  <c r="I9" i="2"/>
  <c r="H9" i="2"/>
  <c r="I4" i="2"/>
  <c r="H4" i="2"/>
  <c r="I31" i="2"/>
  <c r="H31" i="2"/>
  <c r="I22" i="2"/>
  <c r="H22" i="2"/>
  <c r="I14" i="2"/>
  <c r="H14" i="2"/>
  <c r="I10" i="2"/>
  <c r="H10" i="2"/>
  <c r="I7" i="2"/>
  <c r="H7" i="2"/>
  <c r="I54" i="2"/>
  <c r="H54" i="2"/>
  <c r="I33" i="2"/>
  <c r="H33" i="2"/>
  <c r="I19" i="2"/>
  <c r="H19" i="2"/>
  <c r="I16" i="2"/>
  <c r="H16" i="2"/>
  <c r="I8" i="2"/>
  <c r="H8" i="2"/>
  <c r="I64" i="2"/>
  <c r="H64" i="2"/>
  <c r="I59" i="2"/>
  <c r="H59" i="2"/>
  <c r="I49" i="2"/>
  <c r="H49" i="2"/>
  <c r="I36" i="2"/>
  <c r="H36" i="2"/>
  <c r="I26" i="2"/>
  <c r="H26" i="2"/>
  <c r="I66" i="2"/>
  <c r="H66" i="2"/>
  <c r="I60" i="2"/>
  <c r="H60" i="2"/>
  <c r="I48" i="2"/>
  <c r="H48" i="2"/>
  <c r="I44" i="2"/>
  <c r="H44" i="2"/>
  <c r="I27" i="2"/>
  <c r="H27" i="2"/>
  <c r="I32" i="2"/>
  <c r="H32" i="2"/>
  <c r="I23" i="2"/>
  <c r="H23" i="2"/>
  <c r="I15" i="2"/>
  <c r="H15" i="2"/>
  <c r="I11" i="2"/>
  <c r="H11" i="2"/>
  <c r="I6" i="2"/>
  <c r="H6" i="2"/>
  <c r="I62" i="2"/>
  <c r="H62" i="2"/>
  <c r="I58" i="2"/>
  <c r="H58" i="2"/>
  <c r="I45" i="2"/>
  <c r="H45" i="2"/>
  <c r="I39" i="2"/>
  <c r="H39" i="2"/>
  <c r="I24" i="2"/>
  <c r="H24" i="2"/>
  <c r="I65" i="2"/>
  <c r="H65" i="2"/>
  <c r="I61" i="2"/>
  <c r="H61" i="2"/>
  <c r="I57" i="2"/>
  <c r="H57" i="2"/>
  <c r="I50" i="2"/>
  <c r="H50" i="2"/>
  <c r="I42" i="2"/>
  <c r="H42" i="2"/>
  <c r="I63" i="2"/>
  <c r="H63" i="2"/>
  <c r="I56" i="2"/>
  <c r="H56" i="2"/>
  <c r="I41" i="2"/>
  <c r="H41" i="2"/>
  <c r="I28" i="2"/>
  <c r="H28" i="2"/>
  <c r="I18" i="2"/>
  <c r="H18" i="2"/>
  <c r="I79" i="2"/>
  <c r="H79" i="2"/>
  <c r="I77" i="2"/>
  <c r="H77" i="2"/>
  <c r="I75" i="2"/>
  <c r="H75" i="2"/>
  <c r="I68" i="2"/>
  <c r="H68" i="2"/>
  <c r="I67" i="2"/>
  <c r="H67" i="2"/>
  <c r="I81" i="2"/>
  <c r="H81" i="2"/>
  <c r="I80" i="2"/>
  <c r="H80" i="2"/>
  <c r="I78" i="2"/>
  <c r="H78" i="2"/>
  <c r="I76" i="2"/>
  <c r="H76" i="2"/>
  <c r="I73" i="2"/>
  <c r="H73" i="2"/>
  <c r="I55" i="2"/>
  <c r="H55" i="2"/>
  <c r="I43" i="2"/>
  <c r="H43" i="2"/>
  <c r="I29" i="2"/>
  <c r="H29" i="2"/>
  <c r="I25" i="2"/>
  <c r="H25" i="2"/>
  <c r="I17" i="2"/>
  <c r="H17" i="2"/>
  <c r="I40" i="2"/>
  <c r="H40" i="2"/>
  <c r="I38" i="2"/>
  <c r="H38" i="2"/>
  <c r="I34" i="2"/>
  <c r="H34" i="2"/>
  <c r="I37" i="2"/>
  <c r="H37" i="2"/>
  <c r="I35" i="2"/>
  <c r="H35" i="2"/>
  <c r="I71" i="2"/>
  <c r="H71" i="2"/>
  <c r="I69" i="2"/>
  <c r="H69" i="2"/>
  <c r="I72" i="2"/>
  <c r="H72" i="2"/>
  <c r="I74" i="2"/>
  <c r="H74" i="2"/>
  <c r="I70" i="2"/>
  <c r="H70" i="2"/>
  <c r="I47" i="2"/>
  <c r="H47" i="2"/>
  <c r="I53" i="2"/>
  <c r="H53" i="2"/>
  <c r="I51" i="2"/>
  <c r="H51" i="2"/>
  <c r="I52" i="2"/>
  <c r="H52" i="2"/>
  <c r="I46" i="2"/>
  <c r="H46" i="2"/>
  <c r="I83" i="2"/>
  <c r="H83" i="2"/>
  <c r="I86" i="2"/>
  <c r="H86" i="2"/>
  <c r="I84" i="2"/>
  <c r="H84" i="2"/>
  <c r="I85" i="2"/>
  <c r="H85" i="2"/>
  <c r="I82" i="2"/>
  <c r="H82" i="2"/>
  <c r="I87" i="2"/>
  <c r="H87" i="2"/>
  <c r="I89" i="2"/>
  <c r="H89" i="2"/>
  <c r="I88" i="2"/>
  <c r="H88" i="2"/>
  <c r="I91" i="2"/>
  <c r="H91" i="2"/>
  <c r="I90" i="2"/>
  <c r="I92" i="2" s="1"/>
  <c r="I93" i="2" s="1"/>
  <c r="H90" i="2"/>
  <c r="H92" i="2" s="1"/>
  <c r="H93" i="2" s="1"/>
  <c r="I93" i="1"/>
  <c r="I92" i="1"/>
  <c r="H93" i="1"/>
  <c r="H9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2" i="1"/>
  <c r="H92" i="3" l="1"/>
  <c r="H93" i="3" s="1"/>
  <c r="I92" i="3"/>
  <c r="I93" i="3" s="1"/>
</calcChain>
</file>

<file path=xl/sharedStrings.xml><?xml version="1.0" encoding="utf-8"?>
<sst xmlns="http://schemas.openxmlformats.org/spreadsheetml/2006/main" count="146" uniqueCount="26">
  <si>
    <t>num_z_level</t>
    <phoneticPr fontId="1"/>
  </si>
  <si>
    <t>num_pinhole</t>
    <phoneticPr fontId="1"/>
  </si>
  <si>
    <t>subject_z</t>
    <phoneticPr fontId="1"/>
  </si>
  <si>
    <t>time[ms]</t>
    <phoneticPr fontId="1"/>
  </si>
  <si>
    <t>PSNR(/real)[dB]</t>
    <phoneticPr fontId="1"/>
  </si>
  <si>
    <t>PSNR(/weightedAveraging)[dB]</t>
    <phoneticPr fontId="1"/>
  </si>
  <si>
    <t>ptimes</t>
    <phoneticPr fontId="1"/>
  </si>
  <si>
    <t>PSNR(real)/time</t>
    <phoneticPr fontId="1"/>
  </si>
  <si>
    <t>PSNR(weightedAveraging)/time</t>
    <phoneticPr fontId="1"/>
  </si>
  <si>
    <t>DirectProjection</t>
    <phoneticPr fontId="1"/>
  </si>
  <si>
    <t>約210ms以下</t>
    <rPh sb="0" eb="1">
      <t>ヤク</t>
    </rPh>
    <rPh sb="6" eb="8">
      <t>イカ</t>
    </rPh>
    <phoneticPr fontId="1"/>
  </si>
  <si>
    <t>PSNR(/weightedAveraging)降順</t>
    <rPh sb="24" eb="26">
      <t>コウジュン</t>
    </rPh>
    <phoneticPr fontId="1"/>
  </si>
  <si>
    <t>PSNR(/real)降順</t>
    <rPh sb="11" eb="13">
      <t>コウジュン</t>
    </rPh>
    <phoneticPr fontId="1"/>
  </si>
  <si>
    <t>time昇順</t>
    <rPh sb="4" eb="6">
      <t>ショウジュン</t>
    </rPh>
    <phoneticPr fontId="1"/>
  </si>
  <si>
    <t>num pinhole＆subject z別最上位</t>
    <rPh sb="21" eb="22">
      <t>ベツ</t>
    </rPh>
    <rPh sb="22" eb="25">
      <t>サイジョウイ</t>
    </rPh>
    <phoneticPr fontId="1"/>
  </si>
  <si>
    <t>subject zが大きいほど最適なbox sizeが小さくなる傾向</t>
    <rPh sb="10" eb="11">
      <t>オオ</t>
    </rPh>
    <rPh sb="15" eb="17">
      <t>サイテキ</t>
    </rPh>
    <rPh sb="27" eb="28">
      <t>チイ</t>
    </rPh>
    <rPh sb="32" eb="34">
      <t>ケイコウ</t>
    </rPh>
    <phoneticPr fontId="1"/>
  </si>
  <si>
    <t>コメント</t>
    <phoneticPr fontId="1"/>
  </si>
  <si>
    <t>全てにおいて64層がベスト</t>
    <rPh sb="0" eb="1">
      <t>スベ</t>
    </rPh>
    <rPh sb="8" eb="9">
      <t>ソウ</t>
    </rPh>
    <phoneticPr fontId="1"/>
  </si>
  <si>
    <t>ptimes3, 4辺りがPSNR高め</t>
    <rPh sb="10" eb="11">
      <t>アタ</t>
    </rPh>
    <rPh sb="17" eb="18">
      <t>タカ</t>
    </rPh>
    <phoneticPr fontId="1"/>
  </si>
  <si>
    <t>ptimes5が少ない</t>
    <rPh sb="8" eb="9">
      <t>スク</t>
    </rPh>
    <phoneticPr fontId="1"/>
  </si>
  <si>
    <t>prop</t>
    <phoneticPr fontId="1"/>
  </si>
  <si>
    <t>PSNR(real)/time降順</t>
    <rPh sb="15" eb="17">
      <t>コウジュン</t>
    </rPh>
    <phoneticPr fontId="1"/>
  </si>
  <si>
    <t>subject_z=256</t>
    <phoneticPr fontId="1"/>
  </si>
  <si>
    <t>subject_z=512</t>
    <phoneticPr fontId="1"/>
  </si>
  <si>
    <t>subject_z=1024</t>
    <phoneticPr fontId="1"/>
  </si>
  <si>
    <t>PSNR(wA/real)[dB]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</si>
</sst>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06B3E-C97C-4432-B7E9-8EDC8BCDB19B}">
  <dimension ref="A1:I93"/>
  <sheetViews>
    <sheetView topLeftCell="A70" workbookViewId="0">
      <selection activeCell="E111" sqref="E111"/>
    </sheetView>
  </sheetViews>
  <sheetFormatPr defaultRowHeight="18" x14ac:dyDescent="0.55000000000000004"/>
  <cols>
    <col min="1" max="1" width="12.25" bestFit="1" customWidth="1"/>
    <col min="2" max="2" width="11.6640625" bestFit="1" customWidth="1"/>
    <col min="3" max="3" width="9.08203125" bestFit="1" customWidth="1"/>
    <col min="4" max="4" width="9.08203125" customWidth="1"/>
    <col min="5" max="5" width="8.9140625" bestFit="1" customWidth="1"/>
    <col min="6" max="6" width="16" bestFit="1" customWidth="1"/>
    <col min="7" max="7" width="29.83203125" bestFit="1" customWidth="1"/>
    <col min="8" max="8" width="16" bestFit="1" customWidth="1"/>
    <col min="9" max="9" width="29.83203125" bestFit="1" customWidth="1"/>
  </cols>
  <sheetData>
    <row r="1" spans="1:9" x14ac:dyDescent="0.55000000000000004">
      <c r="A1" t="s">
        <v>1</v>
      </c>
      <c r="B1" t="s">
        <v>0</v>
      </c>
      <c r="C1" t="s">
        <v>2</v>
      </c>
      <c r="D1" t="s">
        <v>6</v>
      </c>
      <c r="E1" t="s">
        <v>3</v>
      </c>
      <c r="F1" t="s">
        <v>4</v>
      </c>
      <c r="G1" t="s">
        <v>5</v>
      </c>
      <c r="H1" t="s">
        <v>7</v>
      </c>
      <c r="I1" t="s">
        <v>8</v>
      </c>
    </row>
    <row r="2" spans="1:9" x14ac:dyDescent="0.55000000000000004">
      <c r="A2">
        <v>200</v>
      </c>
      <c r="B2">
        <v>128</v>
      </c>
      <c r="C2">
        <v>1024</v>
      </c>
      <c r="D2">
        <v>1</v>
      </c>
      <c r="E2">
        <v>866.53</v>
      </c>
      <c r="F2">
        <v>17.272300000000001</v>
      </c>
      <c r="G2">
        <v>28.502199999999998</v>
      </c>
      <c r="H2">
        <f>F2/E2</f>
        <v>1.9932720159717497E-2</v>
      </c>
      <c r="I2">
        <f>G2/E2</f>
        <v>3.2892340715266637E-2</v>
      </c>
    </row>
    <row r="3" spans="1:9" x14ac:dyDescent="0.55000000000000004">
      <c r="A3">
        <v>200</v>
      </c>
      <c r="B3">
        <v>128</v>
      </c>
      <c r="C3">
        <v>1024</v>
      </c>
      <c r="D3">
        <v>2</v>
      </c>
      <c r="E3">
        <v>868.71</v>
      </c>
      <c r="F3">
        <v>17.2364</v>
      </c>
      <c r="G3">
        <v>28.122</v>
      </c>
      <c r="H3">
        <f t="shared" ref="H3:H66" si="0">F3/E3</f>
        <v>1.9841373991320462E-2</v>
      </c>
      <c r="I3">
        <f t="shared" ref="I3:I66" si="1">G3/E3</f>
        <v>3.2372137997720755E-2</v>
      </c>
    </row>
    <row r="4" spans="1:9" x14ac:dyDescent="0.55000000000000004">
      <c r="A4">
        <v>200</v>
      </c>
      <c r="B4">
        <v>128</v>
      </c>
      <c r="C4">
        <v>1024</v>
      </c>
      <c r="D4">
        <v>3</v>
      </c>
      <c r="E4">
        <v>861.47</v>
      </c>
      <c r="F4">
        <v>17.272300000000001</v>
      </c>
      <c r="G4">
        <v>28.502199999999998</v>
      </c>
      <c r="H4">
        <f t="shared" si="0"/>
        <v>2.0049798600067326E-2</v>
      </c>
      <c r="I4">
        <f t="shared" si="1"/>
        <v>3.3085539833076015E-2</v>
      </c>
    </row>
    <row r="5" spans="1:9" x14ac:dyDescent="0.55000000000000004">
      <c r="A5">
        <v>200</v>
      </c>
      <c r="B5">
        <v>128</v>
      </c>
      <c r="C5">
        <v>1024</v>
      </c>
      <c r="D5">
        <v>4</v>
      </c>
      <c r="E5">
        <v>865.81</v>
      </c>
      <c r="F5">
        <v>17.2364</v>
      </c>
      <c r="G5">
        <v>28.122</v>
      </c>
      <c r="H5">
        <f t="shared" si="0"/>
        <v>1.9907831972372694E-2</v>
      </c>
      <c r="I5">
        <f t="shared" si="1"/>
        <v>3.248056733001467E-2</v>
      </c>
    </row>
    <row r="6" spans="1:9" x14ac:dyDescent="0.55000000000000004">
      <c r="A6">
        <v>200</v>
      </c>
      <c r="B6">
        <v>128</v>
      </c>
      <c r="C6">
        <v>1024</v>
      </c>
      <c r="D6">
        <v>5</v>
      </c>
      <c r="E6">
        <v>856.49</v>
      </c>
      <c r="F6">
        <v>17.272300000000001</v>
      </c>
      <c r="G6">
        <v>28.502199999999998</v>
      </c>
      <c r="H6">
        <f t="shared" si="0"/>
        <v>2.0166376723604482E-2</v>
      </c>
      <c r="I6">
        <f t="shared" si="1"/>
        <v>3.3277913343997011E-2</v>
      </c>
    </row>
    <row r="7" spans="1:9" x14ac:dyDescent="0.55000000000000004">
      <c r="A7">
        <v>200</v>
      </c>
      <c r="B7">
        <v>128</v>
      </c>
      <c r="C7">
        <v>512</v>
      </c>
      <c r="D7">
        <v>1</v>
      </c>
      <c r="E7">
        <v>689.69</v>
      </c>
      <c r="F7">
        <v>16.1067</v>
      </c>
      <c r="G7">
        <v>25.5319</v>
      </c>
      <c r="H7">
        <f t="shared" si="0"/>
        <v>2.3353535646449854E-2</v>
      </c>
      <c r="I7">
        <f t="shared" si="1"/>
        <v>3.7019385521031185E-2</v>
      </c>
    </row>
    <row r="8" spans="1:9" x14ac:dyDescent="0.55000000000000004">
      <c r="A8">
        <v>200</v>
      </c>
      <c r="B8">
        <v>128</v>
      </c>
      <c r="C8">
        <v>512</v>
      </c>
      <c r="D8">
        <v>2</v>
      </c>
      <c r="E8">
        <v>697.23</v>
      </c>
      <c r="F8">
        <v>16.070900000000002</v>
      </c>
      <c r="G8">
        <v>25.1904</v>
      </c>
      <c r="H8">
        <f t="shared" si="0"/>
        <v>2.304963928689242E-2</v>
      </c>
      <c r="I8">
        <f t="shared" si="1"/>
        <v>3.61292543350114E-2</v>
      </c>
    </row>
    <row r="9" spans="1:9" x14ac:dyDescent="0.55000000000000004">
      <c r="A9">
        <v>200</v>
      </c>
      <c r="B9">
        <v>128</v>
      </c>
      <c r="C9">
        <v>512</v>
      </c>
      <c r="D9">
        <v>3</v>
      </c>
      <c r="E9">
        <v>691.77</v>
      </c>
      <c r="F9">
        <v>16.1067</v>
      </c>
      <c r="G9">
        <v>25.5319</v>
      </c>
      <c r="H9">
        <f t="shared" si="0"/>
        <v>2.32833167093109E-2</v>
      </c>
      <c r="I9">
        <f t="shared" si="1"/>
        <v>3.6908076383769174E-2</v>
      </c>
    </row>
    <row r="10" spans="1:9" x14ac:dyDescent="0.55000000000000004">
      <c r="A10">
        <v>200</v>
      </c>
      <c r="B10">
        <v>128</v>
      </c>
      <c r="C10">
        <v>512</v>
      </c>
      <c r="D10">
        <v>4</v>
      </c>
      <c r="E10">
        <v>700.09</v>
      </c>
      <c r="F10">
        <v>16.070900000000002</v>
      </c>
      <c r="G10">
        <v>25.1904</v>
      </c>
      <c r="H10">
        <f t="shared" si="0"/>
        <v>2.2955477152937481E-2</v>
      </c>
      <c r="I10">
        <f t="shared" si="1"/>
        <v>3.5981659500921311E-2</v>
      </c>
    </row>
    <row r="11" spans="1:9" x14ac:dyDescent="0.55000000000000004">
      <c r="A11">
        <v>200</v>
      </c>
      <c r="B11">
        <v>128</v>
      </c>
      <c r="C11">
        <v>512</v>
      </c>
      <c r="D11">
        <v>5</v>
      </c>
      <c r="E11">
        <v>691.45</v>
      </c>
      <c r="F11">
        <v>16.1067</v>
      </c>
      <c r="G11">
        <v>25.5319</v>
      </c>
      <c r="H11">
        <f t="shared" si="0"/>
        <v>2.329409212524405E-2</v>
      </c>
      <c r="I11">
        <f t="shared" si="1"/>
        <v>3.6925157278183525E-2</v>
      </c>
    </row>
    <row r="12" spans="1:9" x14ac:dyDescent="0.55000000000000004">
      <c r="A12">
        <v>200</v>
      </c>
      <c r="B12">
        <v>128</v>
      </c>
      <c r="C12">
        <v>256</v>
      </c>
      <c r="D12">
        <v>1</v>
      </c>
      <c r="E12">
        <v>271.52999999999997</v>
      </c>
      <c r="F12">
        <v>18.741199999999999</v>
      </c>
      <c r="G12">
        <v>39.387599999999999</v>
      </c>
      <c r="H12">
        <f t="shared" si="0"/>
        <v>6.9020734357161273E-2</v>
      </c>
      <c r="I12">
        <f t="shared" si="1"/>
        <v>0.14505800464037125</v>
      </c>
    </row>
    <row r="13" spans="1:9" x14ac:dyDescent="0.55000000000000004">
      <c r="A13">
        <v>200</v>
      </c>
      <c r="B13">
        <v>128</v>
      </c>
      <c r="C13">
        <v>256</v>
      </c>
      <c r="D13">
        <v>2</v>
      </c>
      <c r="E13">
        <v>277.85000000000002</v>
      </c>
      <c r="F13">
        <v>18.702500000000001</v>
      </c>
      <c r="G13">
        <v>34.3842</v>
      </c>
      <c r="H13">
        <f t="shared" si="0"/>
        <v>6.7311499010257334E-2</v>
      </c>
      <c r="I13">
        <f t="shared" si="1"/>
        <v>0.12375094475436385</v>
      </c>
    </row>
    <row r="14" spans="1:9" x14ac:dyDescent="0.55000000000000004">
      <c r="A14">
        <v>200</v>
      </c>
      <c r="B14">
        <v>128</v>
      </c>
      <c r="C14">
        <v>256</v>
      </c>
      <c r="D14">
        <v>3</v>
      </c>
      <c r="E14">
        <v>277.54000000000002</v>
      </c>
      <c r="F14">
        <v>18.741199999999999</v>
      </c>
      <c r="G14">
        <v>39.387599999999999</v>
      </c>
      <c r="H14">
        <f t="shared" si="0"/>
        <v>6.7526122360740792E-2</v>
      </c>
      <c r="I14">
        <f t="shared" si="1"/>
        <v>0.14191684081573827</v>
      </c>
    </row>
    <row r="15" spans="1:9" x14ac:dyDescent="0.55000000000000004">
      <c r="A15">
        <v>200</v>
      </c>
      <c r="B15">
        <v>128</v>
      </c>
      <c r="C15">
        <v>256</v>
      </c>
      <c r="D15">
        <v>4</v>
      </c>
      <c r="E15">
        <v>278.08</v>
      </c>
      <c r="F15">
        <v>18.702500000000001</v>
      </c>
      <c r="G15">
        <v>34.834200000000003</v>
      </c>
      <c r="H15">
        <f t="shared" si="0"/>
        <v>6.7255825661680105E-2</v>
      </c>
      <c r="I15">
        <f t="shared" si="1"/>
        <v>0.12526682968929806</v>
      </c>
    </row>
    <row r="16" spans="1:9" x14ac:dyDescent="0.55000000000000004">
      <c r="A16">
        <v>200</v>
      </c>
      <c r="B16">
        <v>128</v>
      </c>
      <c r="C16">
        <v>256</v>
      </c>
      <c r="D16">
        <v>5</v>
      </c>
      <c r="E16">
        <v>274.20999999999998</v>
      </c>
      <c r="F16">
        <v>18.741199999999999</v>
      </c>
      <c r="G16">
        <v>39.387599999999999</v>
      </c>
      <c r="H16">
        <f t="shared" si="0"/>
        <v>6.8346158054046174E-2</v>
      </c>
      <c r="I16">
        <f t="shared" si="1"/>
        <v>0.14364027570110499</v>
      </c>
    </row>
    <row r="17" spans="1:9" x14ac:dyDescent="0.55000000000000004">
      <c r="A17">
        <v>200</v>
      </c>
      <c r="B17">
        <v>64</v>
      </c>
      <c r="C17">
        <v>1024</v>
      </c>
      <c r="D17">
        <v>1</v>
      </c>
      <c r="E17">
        <v>418.75</v>
      </c>
      <c r="F17">
        <v>17.272300000000001</v>
      </c>
      <c r="G17">
        <v>28.502199999999998</v>
      </c>
      <c r="H17">
        <f t="shared" si="0"/>
        <v>4.1247283582089553E-2</v>
      </c>
      <c r="I17">
        <f t="shared" si="1"/>
        <v>6.8064955223880591E-2</v>
      </c>
    </row>
    <row r="18" spans="1:9" x14ac:dyDescent="0.55000000000000004">
      <c r="A18">
        <v>200</v>
      </c>
      <c r="B18">
        <v>64</v>
      </c>
      <c r="C18">
        <v>1024</v>
      </c>
      <c r="D18">
        <v>2</v>
      </c>
      <c r="E18">
        <v>429.83</v>
      </c>
      <c r="F18">
        <v>17.2364</v>
      </c>
      <c r="G18">
        <v>28.122</v>
      </c>
      <c r="H18">
        <f t="shared" si="0"/>
        <v>4.0100504850754948E-2</v>
      </c>
      <c r="I18">
        <f t="shared" si="1"/>
        <v>6.5425866040062355E-2</v>
      </c>
    </row>
    <row r="19" spans="1:9" x14ac:dyDescent="0.55000000000000004">
      <c r="A19">
        <v>200</v>
      </c>
      <c r="B19">
        <v>64</v>
      </c>
      <c r="C19">
        <v>1024</v>
      </c>
      <c r="D19">
        <v>3</v>
      </c>
      <c r="E19">
        <v>426.54</v>
      </c>
      <c r="F19">
        <v>17.272300000000001</v>
      </c>
      <c r="G19">
        <v>28.502199999999998</v>
      </c>
      <c r="H19">
        <f t="shared" si="0"/>
        <v>4.049397477376096E-2</v>
      </c>
      <c r="I19">
        <f t="shared" si="1"/>
        <v>6.6821868992357106E-2</v>
      </c>
    </row>
    <row r="20" spans="1:9" x14ac:dyDescent="0.55000000000000004">
      <c r="A20">
        <v>200</v>
      </c>
      <c r="B20">
        <v>64</v>
      </c>
      <c r="C20">
        <v>1024</v>
      </c>
      <c r="D20">
        <v>4</v>
      </c>
      <c r="E20">
        <v>418.46</v>
      </c>
      <c r="F20">
        <v>17.2364</v>
      </c>
      <c r="G20">
        <v>28.122</v>
      </c>
      <c r="H20">
        <f t="shared" si="0"/>
        <v>4.1190077904698183E-2</v>
      </c>
      <c r="I20">
        <f t="shared" si="1"/>
        <v>6.7203555895426093E-2</v>
      </c>
    </row>
    <row r="21" spans="1:9" x14ac:dyDescent="0.55000000000000004">
      <c r="A21">
        <v>200</v>
      </c>
      <c r="B21">
        <v>64</v>
      </c>
      <c r="C21">
        <v>1024</v>
      </c>
      <c r="D21">
        <v>5</v>
      </c>
      <c r="E21">
        <v>425.89</v>
      </c>
      <c r="F21">
        <v>17.272300000000001</v>
      </c>
      <c r="G21">
        <v>28.502199999999998</v>
      </c>
      <c r="H21">
        <f t="shared" si="0"/>
        <v>4.0555777313390787E-2</v>
      </c>
      <c r="I21">
        <f t="shared" si="1"/>
        <v>6.6923853577214767E-2</v>
      </c>
    </row>
    <row r="22" spans="1:9" x14ac:dyDescent="0.55000000000000004">
      <c r="A22">
        <v>200</v>
      </c>
      <c r="B22">
        <v>64</v>
      </c>
      <c r="C22">
        <v>512</v>
      </c>
      <c r="D22">
        <v>1</v>
      </c>
      <c r="E22">
        <v>240.51</v>
      </c>
      <c r="F22">
        <v>16.1067</v>
      </c>
      <c r="G22">
        <v>25.5319</v>
      </c>
      <c r="H22">
        <f t="shared" si="0"/>
        <v>6.6968941000374205E-2</v>
      </c>
      <c r="I22">
        <f t="shared" si="1"/>
        <v>0.10615733233545384</v>
      </c>
    </row>
    <row r="23" spans="1:9" x14ac:dyDescent="0.55000000000000004">
      <c r="A23">
        <v>200</v>
      </c>
      <c r="B23">
        <v>64</v>
      </c>
      <c r="C23">
        <v>512</v>
      </c>
      <c r="D23">
        <v>2</v>
      </c>
      <c r="E23">
        <v>245.16</v>
      </c>
      <c r="F23">
        <v>16.070900000000002</v>
      </c>
      <c r="G23">
        <v>25.1904</v>
      </c>
      <c r="H23">
        <f t="shared" si="0"/>
        <v>6.5552700277369882E-2</v>
      </c>
      <c r="I23">
        <f t="shared" si="1"/>
        <v>0.1027508565834557</v>
      </c>
    </row>
    <row r="24" spans="1:9" x14ac:dyDescent="0.55000000000000004">
      <c r="A24">
        <v>200</v>
      </c>
      <c r="B24">
        <v>64</v>
      </c>
      <c r="C24">
        <v>512</v>
      </c>
      <c r="D24">
        <v>3</v>
      </c>
      <c r="E24">
        <v>240.24</v>
      </c>
      <c r="F24">
        <v>16.1067</v>
      </c>
      <c r="G24">
        <v>25.5319</v>
      </c>
      <c r="H24">
        <f t="shared" si="0"/>
        <v>6.7044205794205794E-2</v>
      </c>
      <c r="I24">
        <f t="shared" si="1"/>
        <v>0.10627664002664003</v>
      </c>
    </row>
    <row r="25" spans="1:9" x14ac:dyDescent="0.55000000000000004">
      <c r="A25">
        <v>200</v>
      </c>
      <c r="B25">
        <v>64</v>
      </c>
      <c r="C25">
        <v>512</v>
      </c>
      <c r="D25">
        <v>4</v>
      </c>
      <c r="E25">
        <v>245.23</v>
      </c>
      <c r="F25">
        <v>16.070900000000002</v>
      </c>
      <c r="G25">
        <v>25.1904</v>
      </c>
      <c r="H25">
        <f t="shared" si="0"/>
        <v>6.5533988500591292E-2</v>
      </c>
      <c r="I25">
        <f t="shared" si="1"/>
        <v>0.10272152673000857</v>
      </c>
    </row>
    <row r="26" spans="1:9" x14ac:dyDescent="0.55000000000000004">
      <c r="A26">
        <v>200</v>
      </c>
      <c r="B26">
        <v>64</v>
      </c>
      <c r="C26">
        <v>512</v>
      </c>
      <c r="D26">
        <v>5</v>
      </c>
      <c r="E26">
        <v>246.04</v>
      </c>
      <c r="F26">
        <v>16.1067</v>
      </c>
      <c r="G26">
        <v>25.5319</v>
      </c>
      <c r="H26">
        <f t="shared" si="0"/>
        <v>6.5463745732401241E-2</v>
      </c>
      <c r="I26">
        <f t="shared" si="1"/>
        <v>0.10377133799382214</v>
      </c>
    </row>
    <row r="27" spans="1:9" x14ac:dyDescent="0.55000000000000004">
      <c r="A27">
        <v>200</v>
      </c>
      <c r="B27">
        <v>64</v>
      </c>
      <c r="C27">
        <v>256</v>
      </c>
      <c r="D27">
        <v>1</v>
      </c>
      <c r="E27">
        <v>185.77</v>
      </c>
      <c r="F27">
        <v>18.5869</v>
      </c>
      <c r="G27">
        <v>27.626200000000001</v>
      </c>
      <c r="H27">
        <f t="shared" si="0"/>
        <v>0.10005329170479625</v>
      </c>
      <c r="I27">
        <f t="shared" si="1"/>
        <v>0.14871184798406631</v>
      </c>
    </row>
    <row r="28" spans="1:9" x14ac:dyDescent="0.55000000000000004">
      <c r="A28">
        <v>200</v>
      </c>
      <c r="B28">
        <v>64</v>
      </c>
      <c r="C28">
        <v>256</v>
      </c>
      <c r="D28">
        <v>2</v>
      </c>
      <c r="E28">
        <v>215.26</v>
      </c>
      <c r="F28">
        <v>18.526199999999999</v>
      </c>
      <c r="G28">
        <v>30.394600000000001</v>
      </c>
      <c r="H28">
        <f t="shared" si="0"/>
        <v>8.6064294341726286E-2</v>
      </c>
      <c r="I28">
        <f t="shared" si="1"/>
        <v>0.14119947969896871</v>
      </c>
    </row>
    <row r="29" spans="1:9" x14ac:dyDescent="0.55000000000000004">
      <c r="A29">
        <v>200</v>
      </c>
      <c r="B29">
        <v>64</v>
      </c>
      <c r="C29">
        <v>256</v>
      </c>
      <c r="D29">
        <v>3</v>
      </c>
      <c r="E29">
        <v>226.41</v>
      </c>
      <c r="F29">
        <v>18.9725</v>
      </c>
      <c r="G29">
        <v>28.3385</v>
      </c>
      <c r="H29">
        <f t="shared" si="0"/>
        <v>8.3797093767943115E-2</v>
      </c>
      <c r="I29">
        <f t="shared" si="1"/>
        <v>0.12516452453513538</v>
      </c>
    </row>
    <row r="30" spans="1:9" x14ac:dyDescent="0.55000000000000004">
      <c r="A30">
        <v>200</v>
      </c>
      <c r="B30">
        <v>64</v>
      </c>
      <c r="C30">
        <v>256</v>
      </c>
      <c r="D30">
        <v>4</v>
      </c>
      <c r="E30">
        <v>259.2</v>
      </c>
      <c r="F30">
        <v>18.849399999999999</v>
      </c>
      <c r="G30">
        <v>42.858899999999998</v>
      </c>
      <c r="H30">
        <f t="shared" si="0"/>
        <v>7.2721450617283953E-2</v>
      </c>
      <c r="I30">
        <f t="shared" si="1"/>
        <v>0.16535069444444445</v>
      </c>
    </row>
    <row r="31" spans="1:9" x14ac:dyDescent="0.55000000000000004">
      <c r="A31">
        <v>200</v>
      </c>
      <c r="B31">
        <v>64</v>
      </c>
      <c r="C31">
        <v>256</v>
      </c>
      <c r="D31">
        <v>5</v>
      </c>
      <c r="E31">
        <v>289.26</v>
      </c>
      <c r="F31">
        <v>18.834099999999999</v>
      </c>
      <c r="G31">
        <v>41.235500000000002</v>
      </c>
      <c r="H31">
        <f t="shared" si="0"/>
        <v>6.511131853695637E-2</v>
      </c>
      <c r="I31">
        <f t="shared" si="1"/>
        <v>0.14255514070386505</v>
      </c>
    </row>
    <row r="32" spans="1:9" x14ac:dyDescent="0.55000000000000004">
      <c r="A32">
        <v>100</v>
      </c>
      <c r="B32">
        <v>128</v>
      </c>
      <c r="C32">
        <v>1024</v>
      </c>
      <c r="D32">
        <v>1</v>
      </c>
      <c r="E32">
        <v>426.69</v>
      </c>
      <c r="F32">
        <v>15.204800000000001</v>
      </c>
      <c r="G32">
        <v>23.4528</v>
      </c>
      <c r="H32">
        <f t="shared" si="0"/>
        <v>3.5634301249150437E-2</v>
      </c>
      <c r="I32">
        <f t="shared" si="1"/>
        <v>5.4964494129227305E-2</v>
      </c>
    </row>
    <row r="33" spans="1:9" x14ac:dyDescent="0.55000000000000004">
      <c r="A33">
        <v>100</v>
      </c>
      <c r="B33">
        <v>128</v>
      </c>
      <c r="C33">
        <v>1024</v>
      </c>
      <c r="D33">
        <v>2</v>
      </c>
      <c r="E33">
        <v>467.4</v>
      </c>
      <c r="F33">
        <v>16.428899999999999</v>
      </c>
      <c r="G33">
        <v>27.965299999999999</v>
      </c>
      <c r="H33">
        <f t="shared" si="0"/>
        <v>3.5149550706033372E-2</v>
      </c>
      <c r="I33">
        <f t="shared" si="1"/>
        <v>5.9831621737270003E-2</v>
      </c>
    </row>
    <row r="34" spans="1:9" x14ac:dyDescent="0.55000000000000004">
      <c r="A34">
        <v>100</v>
      </c>
      <c r="B34">
        <v>128</v>
      </c>
      <c r="C34">
        <v>1024</v>
      </c>
      <c r="D34">
        <v>3</v>
      </c>
      <c r="E34">
        <v>506.26</v>
      </c>
      <c r="F34">
        <v>17.369499999999999</v>
      </c>
      <c r="G34">
        <v>46.060099999999998</v>
      </c>
      <c r="H34">
        <f t="shared" si="0"/>
        <v>3.4309445739343421E-2</v>
      </c>
      <c r="I34">
        <f t="shared" si="1"/>
        <v>9.098111642239165E-2</v>
      </c>
    </row>
    <row r="35" spans="1:9" x14ac:dyDescent="0.55000000000000004">
      <c r="A35">
        <v>100</v>
      </c>
      <c r="B35">
        <v>128</v>
      </c>
      <c r="C35">
        <v>1024</v>
      </c>
      <c r="D35">
        <v>4</v>
      </c>
      <c r="E35">
        <v>539.29</v>
      </c>
      <c r="F35">
        <v>15.7577</v>
      </c>
      <c r="G35">
        <v>24.953800000000001</v>
      </c>
      <c r="H35">
        <f t="shared" si="0"/>
        <v>2.9219343952233495E-2</v>
      </c>
      <c r="I35">
        <f t="shared" si="1"/>
        <v>4.6271579298707566E-2</v>
      </c>
    </row>
    <row r="36" spans="1:9" x14ac:dyDescent="0.55000000000000004">
      <c r="A36">
        <v>100</v>
      </c>
      <c r="B36">
        <v>128</v>
      </c>
      <c r="C36">
        <v>1024</v>
      </c>
      <c r="D36">
        <v>5</v>
      </c>
      <c r="E36">
        <v>579.36</v>
      </c>
      <c r="F36">
        <v>17.1204</v>
      </c>
      <c r="G36">
        <v>30.316400000000002</v>
      </c>
      <c r="H36">
        <f t="shared" si="0"/>
        <v>2.9550538525269263E-2</v>
      </c>
      <c r="I36">
        <f t="shared" si="1"/>
        <v>5.2327395747031206E-2</v>
      </c>
    </row>
    <row r="37" spans="1:9" x14ac:dyDescent="0.55000000000000004">
      <c r="A37">
        <v>100</v>
      </c>
      <c r="B37">
        <v>128</v>
      </c>
      <c r="C37">
        <v>512</v>
      </c>
      <c r="D37">
        <v>1</v>
      </c>
      <c r="E37">
        <v>365.19</v>
      </c>
      <c r="F37">
        <v>18.628</v>
      </c>
      <c r="G37">
        <v>24.081199999999999</v>
      </c>
      <c r="H37">
        <f t="shared" si="0"/>
        <v>5.1009063775021221E-2</v>
      </c>
      <c r="I37">
        <f t="shared" si="1"/>
        <v>6.5941564664968921E-2</v>
      </c>
    </row>
    <row r="38" spans="1:9" x14ac:dyDescent="0.55000000000000004">
      <c r="A38">
        <v>100</v>
      </c>
      <c r="B38">
        <v>128</v>
      </c>
      <c r="C38">
        <v>512</v>
      </c>
      <c r="D38">
        <v>2</v>
      </c>
      <c r="E38">
        <v>413.56</v>
      </c>
      <c r="F38">
        <v>16.1327</v>
      </c>
      <c r="G38">
        <v>24.1584</v>
      </c>
      <c r="H38">
        <f t="shared" si="0"/>
        <v>3.9009333591256405E-2</v>
      </c>
      <c r="I38">
        <f t="shared" si="1"/>
        <v>5.8415707515233582E-2</v>
      </c>
    </row>
    <row r="39" spans="1:9" x14ac:dyDescent="0.55000000000000004">
      <c r="A39">
        <v>100</v>
      </c>
      <c r="B39">
        <v>128</v>
      </c>
      <c r="C39">
        <v>512</v>
      </c>
      <c r="D39">
        <v>3</v>
      </c>
      <c r="E39">
        <v>442.6</v>
      </c>
      <c r="F39">
        <v>17.195900000000002</v>
      </c>
      <c r="G39">
        <v>36.895899999999997</v>
      </c>
      <c r="H39">
        <f t="shared" si="0"/>
        <v>3.8852010845006779E-2</v>
      </c>
      <c r="I39">
        <f t="shared" si="1"/>
        <v>8.3361726163578842E-2</v>
      </c>
    </row>
    <row r="40" spans="1:9" x14ac:dyDescent="0.55000000000000004">
      <c r="A40">
        <v>100</v>
      </c>
      <c r="B40">
        <v>128</v>
      </c>
      <c r="C40">
        <v>512</v>
      </c>
      <c r="D40">
        <v>4</v>
      </c>
      <c r="E40">
        <v>476.35</v>
      </c>
      <c r="F40">
        <v>17.195599999999999</v>
      </c>
      <c r="G40">
        <v>36.613900000000001</v>
      </c>
      <c r="H40">
        <f t="shared" si="0"/>
        <v>3.6098666946572891E-2</v>
      </c>
      <c r="I40">
        <f t="shared" si="1"/>
        <v>7.6863440747349632E-2</v>
      </c>
    </row>
    <row r="41" spans="1:9" x14ac:dyDescent="0.55000000000000004">
      <c r="A41">
        <v>100</v>
      </c>
      <c r="B41">
        <v>128</v>
      </c>
      <c r="C41">
        <v>512</v>
      </c>
      <c r="D41">
        <v>5</v>
      </c>
      <c r="E41">
        <v>517.04999999999995</v>
      </c>
      <c r="F41">
        <v>17.184799999999999</v>
      </c>
      <c r="G41">
        <v>37.342399999999998</v>
      </c>
      <c r="H41">
        <f t="shared" si="0"/>
        <v>3.3236244076975147E-2</v>
      </c>
      <c r="I41">
        <f t="shared" si="1"/>
        <v>7.2222028817329087E-2</v>
      </c>
    </row>
    <row r="42" spans="1:9" x14ac:dyDescent="0.55000000000000004">
      <c r="A42">
        <v>100</v>
      </c>
      <c r="B42">
        <v>128</v>
      </c>
      <c r="C42">
        <v>256</v>
      </c>
      <c r="D42">
        <v>1</v>
      </c>
      <c r="E42">
        <v>186.27</v>
      </c>
      <c r="F42">
        <v>18.958600000000001</v>
      </c>
      <c r="G42">
        <v>27.572299999999998</v>
      </c>
      <c r="H42">
        <f t="shared" si="0"/>
        <v>0.1017802115209105</v>
      </c>
      <c r="I42">
        <f t="shared" si="1"/>
        <v>0.14802329951146184</v>
      </c>
    </row>
    <row r="43" spans="1:9" x14ac:dyDescent="0.55000000000000004">
      <c r="A43">
        <v>100</v>
      </c>
      <c r="B43">
        <v>128</v>
      </c>
      <c r="C43">
        <v>256</v>
      </c>
      <c r="D43">
        <v>2</v>
      </c>
      <c r="E43">
        <v>223.94</v>
      </c>
      <c r="F43">
        <v>18.420200000000001</v>
      </c>
      <c r="G43">
        <v>34.814500000000002</v>
      </c>
      <c r="H43">
        <f t="shared" si="0"/>
        <v>8.2255068321871933E-2</v>
      </c>
      <c r="I43">
        <f t="shared" si="1"/>
        <v>0.15546351701348576</v>
      </c>
    </row>
    <row r="44" spans="1:9" x14ac:dyDescent="0.55000000000000004">
      <c r="A44">
        <v>100</v>
      </c>
      <c r="B44">
        <v>128</v>
      </c>
      <c r="C44">
        <v>256</v>
      </c>
      <c r="D44">
        <v>3</v>
      </c>
      <c r="E44">
        <v>247.25</v>
      </c>
      <c r="F44">
        <v>19.296399999999998</v>
      </c>
      <c r="G44">
        <v>28.578800000000001</v>
      </c>
      <c r="H44">
        <f t="shared" si="0"/>
        <v>7.8044084934277044E-2</v>
      </c>
      <c r="I44">
        <f t="shared" si="1"/>
        <v>0.11558665318503539</v>
      </c>
    </row>
    <row r="45" spans="1:9" x14ac:dyDescent="0.55000000000000004">
      <c r="A45">
        <v>100</v>
      </c>
      <c r="B45">
        <v>128</v>
      </c>
      <c r="C45">
        <v>256</v>
      </c>
      <c r="D45">
        <v>4</v>
      </c>
      <c r="E45">
        <v>289.99</v>
      </c>
      <c r="F45">
        <v>18.503399999999999</v>
      </c>
      <c r="G45">
        <v>38.825200000000002</v>
      </c>
      <c r="H45">
        <f t="shared" si="0"/>
        <v>6.3807027828545804E-2</v>
      </c>
      <c r="I45">
        <f t="shared" si="1"/>
        <v>0.13388461671092108</v>
      </c>
    </row>
    <row r="46" spans="1:9" x14ac:dyDescent="0.55000000000000004">
      <c r="A46">
        <v>100</v>
      </c>
      <c r="B46">
        <v>128</v>
      </c>
      <c r="C46">
        <v>256</v>
      </c>
      <c r="D46">
        <v>5</v>
      </c>
      <c r="E46">
        <v>331.83</v>
      </c>
      <c r="F46">
        <v>18.522300000000001</v>
      </c>
      <c r="G46">
        <v>45.912300000000002</v>
      </c>
      <c r="H46">
        <f t="shared" si="0"/>
        <v>5.581864207576169E-2</v>
      </c>
      <c r="I46">
        <f t="shared" si="1"/>
        <v>0.1383609076936986</v>
      </c>
    </row>
    <row r="47" spans="1:9" x14ac:dyDescent="0.55000000000000004">
      <c r="A47">
        <v>100</v>
      </c>
      <c r="B47">
        <v>64</v>
      </c>
      <c r="C47">
        <v>1024</v>
      </c>
      <c r="D47">
        <v>1</v>
      </c>
      <c r="E47">
        <v>249.13</v>
      </c>
      <c r="F47">
        <v>15.7845</v>
      </c>
      <c r="G47">
        <v>24.95</v>
      </c>
      <c r="H47">
        <f t="shared" si="0"/>
        <v>6.335848753662747E-2</v>
      </c>
      <c r="I47">
        <f t="shared" si="1"/>
        <v>0.10014851683859832</v>
      </c>
    </row>
    <row r="48" spans="1:9" x14ac:dyDescent="0.55000000000000004">
      <c r="A48">
        <v>100</v>
      </c>
      <c r="B48">
        <v>64</v>
      </c>
      <c r="C48">
        <v>1024</v>
      </c>
      <c r="D48">
        <v>2</v>
      </c>
      <c r="E48">
        <v>277</v>
      </c>
      <c r="F48">
        <v>17.299299999999999</v>
      </c>
      <c r="G48">
        <v>38.8855</v>
      </c>
      <c r="H48">
        <f t="shared" si="0"/>
        <v>6.245234657039711E-2</v>
      </c>
      <c r="I48">
        <f t="shared" si="1"/>
        <v>0.14038086642599279</v>
      </c>
    </row>
    <row r="49" spans="1:9" x14ac:dyDescent="0.55000000000000004">
      <c r="A49">
        <v>100</v>
      </c>
      <c r="B49">
        <v>64</v>
      </c>
      <c r="C49">
        <v>1024</v>
      </c>
      <c r="D49">
        <v>3</v>
      </c>
      <c r="E49">
        <v>290.43</v>
      </c>
      <c r="F49">
        <v>17.253499999999999</v>
      </c>
      <c r="G49">
        <v>28.240500000000001</v>
      </c>
      <c r="H49">
        <f t="shared" si="0"/>
        <v>5.9406741727782937E-2</v>
      </c>
      <c r="I49">
        <f t="shared" si="1"/>
        <v>9.7236855696725549E-2</v>
      </c>
    </row>
    <row r="50" spans="1:9" x14ac:dyDescent="0.55000000000000004">
      <c r="A50">
        <v>100</v>
      </c>
      <c r="B50">
        <v>64</v>
      </c>
      <c r="C50">
        <v>1024</v>
      </c>
      <c r="D50">
        <v>4</v>
      </c>
      <c r="E50">
        <v>324.04000000000002</v>
      </c>
      <c r="F50">
        <v>16.517900000000001</v>
      </c>
      <c r="G50">
        <v>28.369199999999999</v>
      </c>
      <c r="H50">
        <f t="shared" si="0"/>
        <v>5.0974879644488331E-2</v>
      </c>
      <c r="I50">
        <f t="shared" si="1"/>
        <v>8.754845080854215E-2</v>
      </c>
    </row>
    <row r="51" spans="1:9" x14ac:dyDescent="0.55000000000000004">
      <c r="A51">
        <v>100</v>
      </c>
      <c r="B51">
        <v>64</v>
      </c>
      <c r="C51">
        <v>1024</v>
      </c>
      <c r="D51">
        <v>5</v>
      </c>
      <c r="E51">
        <v>352.23</v>
      </c>
      <c r="F51">
        <v>17.1646</v>
      </c>
      <c r="G51">
        <v>25.1693</v>
      </c>
      <c r="H51">
        <f t="shared" si="0"/>
        <v>4.8731226755245147E-2</v>
      </c>
      <c r="I51">
        <f t="shared" si="1"/>
        <v>7.1457002526758073E-2</v>
      </c>
    </row>
    <row r="52" spans="1:9" x14ac:dyDescent="0.55000000000000004">
      <c r="A52">
        <v>100</v>
      </c>
      <c r="B52">
        <v>64</v>
      </c>
      <c r="C52">
        <v>512</v>
      </c>
      <c r="D52">
        <v>1</v>
      </c>
      <c r="E52">
        <v>214.63</v>
      </c>
      <c r="F52">
        <v>17.699400000000001</v>
      </c>
      <c r="G52">
        <v>26.049700000000001</v>
      </c>
      <c r="H52">
        <f t="shared" si="0"/>
        <v>8.2464706704561339E-2</v>
      </c>
      <c r="I52">
        <f t="shared" si="1"/>
        <v>0.12137026510739413</v>
      </c>
    </row>
    <row r="53" spans="1:9" x14ac:dyDescent="0.55000000000000004">
      <c r="A53">
        <v>100</v>
      </c>
      <c r="B53">
        <v>64</v>
      </c>
      <c r="C53">
        <v>512</v>
      </c>
      <c r="D53">
        <v>2</v>
      </c>
      <c r="E53">
        <v>245.98</v>
      </c>
      <c r="F53">
        <v>15.655900000000001</v>
      </c>
      <c r="G53">
        <v>22.788900000000002</v>
      </c>
      <c r="H53">
        <f t="shared" si="0"/>
        <v>6.3647044475160591E-2</v>
      </c>
      <c r="I53">
        <f t="shared" si="1"/>
        <v>9.2645337019269872E-2</v>
      </c>
    </row>
    <row r="54" spans="1:9" x14ac:dyDescent="0.55000000000000004">
      <c r="A54">
        <v>100</v>
      </c>
      <c r="B54">
        <v>64</v>
      </c>
      <c r="C54">
        <v>512</v>
      </c>
      <c r="D54">
        <v>3</v>
      </c>
      <c r="E54">
        <v>264.29000000000002</v>
      </c>
      <c r="F54">
        <v>17.147500000000001</v>
      </c>
      <c r="G54">
        <v>43.635800000000003</v>
      </c>
      <c r="H54">
        <f t="shared" si="0"/>
        <v>6.4881380301941044E-2</v>
      </c>
      <c r="I54">
        <f t="shared" si="1"/>
        <v>0.16510575504181013</v>
      </c>
    </row>
    <row r="55" spans="1:9" x14ac:dyDescent="0.55000000000000004">
      <c r="A55">
        <v>100</v>
      </c>
      <c r="B55">
        <v>64</v>
      </c>
      <c r="C55">
        <v>512</v>
      </c>
      <c r="D55">
        <v>4</v>
      </c>
      <c r="E55">
        <v>300.33</v>
      </c>
      <c r="F55">
        <v>16.559000000000001</v>
      </c>
      <c r="G55">
        <v>28.9938</v>
      </c>
      <c r="H55">
        <f t="shared" si="0"/>
        <v>5.5136017047913967E-2</v>
      </c>
      <c r="I55">
        <f t="shared" si="1"/>
        <v>9.6539806213165519E-2</v>
      </c>
    </row>
    <row r="56" spans="1:9" x14ac:dyDescent="0.55000000000000004">
      <c r="A56">
        <v>100</v>
      </c>
      <c r="B56">
        <v>64</v>
      </c>
      <c r="C56">
        <v>512</v>
      </c>
      <c r="D56">
        <v>5</v>
      </c>
      <c r="E56">
        <v>325.82</v>
      </c>
      <c r="F56">
        <v>16.5792</v>
      </c>
      <c r="G56">
        <v>29.310700000000001</v>
      </c>
      <c r="H56">
        <f t="shared" si="0"/>
        <v>5.0884537474679276E-2</v>
      </c>
      <c r="I56">
        <f t="shared" si="1"/>
        <v>8.9959793751150943E-2</v>
      </c>
    </row>
    <row r="57" spans="1:9" x14ac:dyDescent="0.55000000000000004">
      <c r="A57">
        <v>100</v>
      </c>
      <c r="B57">
        <v>64</v>
      </c>
      <c r="C57">
        <v>256</v>
      </c>
      <c r="D57">
        <v>1</v>
      </c>
      <c r="E57">
        <v>131.9</v>
      </c>
      <c r="F57">
        <v>18.3934</v>
      </c>
      <c r="G57">
        <v>33.802999999999997</v>
      </c>
      <c r="H57">
        <f t="shared" si="0"/>
        <v>0.13944958301743746</v>
      </c>
      <c r="I57">
        <f t="shared" si="1"/>
        <v>0.25627748294162239</v>
      </c>
    </row>
    <row r="58" spans="1:9" x14ac:dyDescent="0.55000000000000004">
      <c r="A58">
        <v>100</v>
      </c>
      <c r="B58">
        <v>64</v>
      </c>
      <c r="C58">
        <v>256</v>
      </c>
      <c r="D58">
        <v>2</v>
      </c>
      <c r="E58">
        <v>160.56</v>
      </c>
      <c r="F58">
        <v>19.246200000000002</v>
      </c>
      <c r="G58">
        <v>28.049800000000001</v>
      </c>
      <c r="H58">
        <f t="shared" si="0"/>
        <v>0.11986920777279522</v>
      </c>
      <c r="I58">
        <f t="shared" si="1"/>
        <v>0.17469980069755855</v>
      </c>
    </row>
    <row r="59" spans="1:9" x14ac:dyDescent="0.55000000000000004">
      <c r="A59">
        <v>100</v>
      </c>
      <c r="B59">
        <v>64</v>
      </c>
      <c r="C59">
        <v>256</v>
      </c>
      <c r="D59">
        <v>3</v>
      </c>
      <c r="E59">
        <v>172.05</v>
      </c>
      <c r="F59">
        <v>18.739599999999999</v>
      </c>
      <c r="G59">
        <v>25.623999999999999</v>
      </c>
      <c r="H59">
        <f t="shared" si="0"/>
        <v>0.10891950014530659</v>
      </c>
      <c r="I59">
        <f t="shared" si="1"/>
        <v>0.14893344957861085</v>
      </c>
    </row>
    <row r="60" spans="1:9" x14ac:dyDescent="0.55000000000000004">
      <c r="A60">
        <v>100</v>
      </c>
      <c r="B60">
        <v>64</v>
      </c>
      <c r="C60">
        <v>256</v>
      </c>
      <c r="D60">
        <v>4</v>
      </c>
      <c r="E60">
        <v>207.54</v>
      </c>
      <c r="F60">
        <v>18.525700000000001</v>
      </c>
      <c r="G60">
        <v>43.077199999999998</v>
      </c>
      <c r="H60">
        <f t="shared" si="0"/>
        <v>8.9263274549484448E-2</v>
      </c>
      <c r="I60">
        <f t="shared" si="1"/>
        <v>0.2075609521056182</v>
      </c>
    </row>
    <row r="61" spans="1:9" x14ac:dyDescent="0.55000000000000004">
      <c r="A61">
        <v>100</v>
      </c>
      <c r="B61">
        <v>64</v>
      </c>
      <c r="C61">
        <v>256</v>
      </c>
      <c r="D61">
        <v>5</v>
      </c>
      <c r="E61">
        <v>235.75</v>
      </c>
      <c r="F61">
        <v>19.317900000000002</v>
      </c>
      <c r="G61">
        <v>28.626200000000001</v>
      </c>
      <c r="H61">
        <f t="shared" si="0"/>
        <v>8.1942311770943799E-2</v>
      </c>
      <c r="I61">
        <f t="shared" si="1"/>
        <v>0.12142608695652174</v>
      </c>
    </row>
    <row r="62" spans="1:9" x14ac:dyDescent="0.55000000000000004">
      <c r="A62">
        <v>50</v>
      </c>
      <c r="B62">
        <v>128</v>
      </c>
      <c r="C62">
        <v>1024</v>
      </c>
      <c r="D62">
        <v>1</v>
      </c>
      <c r="E62">
        <v>217.14</v>
      </c>
      <c r="F62">
        <v>15.8338</v>
      </c>
      <c r="G62">
        <v>22.8752</v>
      </c>
      <c r="H62">
        <f t="shared" si="0"/>
        <v>7.2919775260200798E-2</v>
      </c>
      <c r="I62">
        <f t="shared" si="1"/>
        <v>0.10534770194344663</v>
      </c>
    </row>
    <row r="63" spans="1:9" x14ac:dyDescent="0.55000000000000004">
      <c r="A63">
        <v>50</v>
      </c>
      <c r="B63">
        <v>128</v>
      </c>
      <c r="C63">
        <v>1024</v>
      </c>
      <c r="D63">
        <v>2</v>
      </c>
      <c r="E63">
        <v>259.7</v>
      </c>
      <c r="F63">
        <v>17.351199999999999</v>
      </c>
      <c r="G63">
        <v>26.849599999999999</v>
      </c>
      <c r="H63">
        <f t="shared" si="0"/>
        <v>6.6812475933769738E-2</v>
      </c>
      <c r="I63">
        <f t="shared" si="1"/>
        <v>0.10338698498267232</v>
      </c>
    </row>
    <row r="64" spans="1:9" x14ac:dyDescent="0.55000000000000004">
      <c r="A64">
        <v>50</v>
      </c>
      <c r="B64">
        <v>128</v>
      </c>
      <c r="C64">
        <v>1024</v>
      </c>
      <c r="D64">
        <v>3</v>
      </c>
      <c r="E64">
        <v>274.86</v>
      </c>
      <c r="F64">
        <v>16.885300000000001</v>
      </c>
      <c r="G64">
        <v>46.482500000000002</v>
      </c>
      <c r="H64">
        <f t="shared" si="0"/>
        <v>6.1432365567925487E-2</v>
      </c>
      <c r="I64">
        <f t="shared" si="1"/>
        <v>0.16911336680491887</v>
      </c>
    </row>
    <row r="65" spans="1:9" x14ac:dyDescent="0.55000000000000004">
      <c r="A65">
        <v>50</v>
      </c>
      <c r="B65">
        <v>128</v>
      </c>
      <c r="C65">
        <v>1024</v>
      </c>
      <c r="D65">
        <v>4</v>
      </c>
      <c r="E65">
        <v>320.49</v>
      </c>
      <c r="F65">
        <v>17.27</v>
      </c>
      <c r="G65">
        <v>25.7378</v>
      </c>
      <c r="H65">
        <f t="shared" si="0"/>
        <v>5.388623670005304E-2</v>
      </c>
      <c r="I65">
        <f t="shared" si="1"/>
        <v>8.0307653904958032E-2</v>
      </c>
    </row>
    <row r="66" spans="1:9" x14ac:dyDescent="0.55000000000000004">
      <c r="A66">
        <v>50</v>
      </c>
      <c r="B66">
        <v>128</v>
      </c>
      <c r="C66">
        <v>1024</v>
      </c>
      <c r="D66">
        <v>5</v>
      </c>
      <c r="E66">
        <v>361.15</v>
      </c>
      <c r="F66">
        <v>17.110600000000002</v>
      </c>
      <c r="G66">
        <v>29.9968</v>
      </c>
      <c r="H66">
        <f t="shared" si="0"/>
        <v>4.7378097743319955E-2</v>
      </c>
      <c r="I66">
        <f t="shared" si="1"/>
        <v>8.3059116710508099E-2</v>
      </c>
    </row>
    <row r="67" spans="1:9" x14ac:dyDescent="0.55000000000000004">
      <c r="A67">
        <v>50</v>
      </c>
      <c r="B67">
        <v>128</v>
      </c>
      <c r="C67">
        <v>512</v>
      </c>
      <c r="D67">
        <v>1</v>
      </c>
      <c r="E67">
        <v>215.57</v>
      </c>
      <c r="F67">
        <v>18.371500000000001</v>
      </c>
      <c r="G67">
        <v>24.2652</v>
      </c>
      <c r="H67">
        <f t="shared" ref="H67:H91" si="2">F67/E67</f>
        <v>8.5222897434707998E-2</v>
      </c>
      <c r="I67">
        <f t="shared" ref="I67:I91" si="3">G67/E67</f>
        <v>0.11256297258431136</v>
      </c>
    </row>
    <row r="68" spans="1:9" x14ac:dyDescent="0.55000000000000004">
      <c r="A68">
        <v>50</v>
      </c>
      <c r="B68">
        <v>128</v>
      </c>
      <c r="C68">
        <v>512</v>
      </c>
      <c r="D68">
        <v>2</v>
      </c>
      <c r="E68">
        <v>244.27</v>
      </c>
      <c r="F68">
        <v>16.119</v>
      </c>
      <c r="G68">
        <v>23.882999999999999</v>
      </c>
      <c r="H68">
        <f t="shared" si="2"/>
        <v>6.598845539771564E-2</v>
      </c>
      <c r="I68">
        <f t="shared" si="3"/>
        <v>9.7772956155074295E-2</v>
      </c>
    </row>
    <row r="69" spans="1:9" x14ac:dyDescent="0.55000000000000004">
      <c r="A69">
        <v>50</v>
      </c>
      <c r="B69">
        <v>128</v>
      </c>
      <c r="C69">
        <v>512</v>
      </c>
      <c r="D69">
        <v>3</v>
      </c>
      <c r="E69">
        <v>275.22000000000003</v>
      </c>
      <c r="F69">
        <v>18.506900000000002</v>
      </c>
      <c r="G69">
        <v>26.331800000000001</v>
      </c>
      <c r="H69">
        <f t="shared" si="2"/>
        <v>6.724402296344742E-2</v>
      </c>
      <c r="I69">
        <f t="shared" si="3"/>
        <v>9.5675459632294166E-2</v>
      </c>
    </row>
    <row r="70" spans="1:9" x14ac:dyDescent="0.55000000000000004">
      <c r="A70">
        <v>50</v>
      </c>
      <c r="B70">
        <v>128</v>
      </c>
      <c r="C70">
        <v>512</v>
      </c>
      <c r="D70">
        <v>4</v>
      </c>
      <c r="E70">
        <v>313.08</v>
      </c>
      <c r="F70">
        <v>17.071300000000001</v>
      </c>
      <c r="G70">
        <v>41.583500000000001</v>
      </c>
      <c r="H70">
        <f t="shared" si="2"/>
        <v>5.4526957966015081E-2</v>
      </c>
      <c r="I70">
        <f t="shared" si="3"/>
        <v>0.1328206848089945</v>
      </c>
    </row>
    <row r="71" spans="1:9" x14ac:dyDescent="0.55000000000000004">
      <c r="A71">
        <v>50</v>
      </c>
      <c r="B71">
        <v>128</v>
      </c>
      <c r="C71">
        <v>512</v>
      </c>
      <c r="D71">
        <v>5</v>
      </c>
      <c r="E71">
        <v>350.84</v>
      </c>
      <c r="F71">
        <v>17.087</v>
      </c>
      <c r="G71">
        <v>46.834299999999999</v>
      </c>
      <c r="H71">
        <f t="shared" si="2"/>
        <v>4.8703112529928178E-2</v>
      </c>
      <c r="I71">
        <f t="shared" si="3"/>
        <v>0.13349190514194506</v>
      </c>
    </row>
    <row r="72" spans="1:9" x14ac:dyDescent="0.55000000000000004">
      <c r="A72">
        <v>50</v>
      </c>
      <c r="B72">
        <v>128</v>
      </c>
      <c r="C72">
        <v>256</v>
      </c>
      <c r="D72">
        <v>1</v>
      </c>
      <c r="E72">
        <v>142.07</v>
      </c>
      <c r="F72">
        <v>17.575800000000001</v>
      </c>
      <c r="G72">
        <v>25.2117</v>
      </c>
      <c r="H72">
        <f t="shared" si="2"/>
        <v>0.12371225452241853</v>
      </c>
      <c r="I72">
        <f t="shared" si="3"/>
        <v>0.17745970296332794</v>
      </c>
    </row>
    <row r="73" spans="1:9" x14ac:dyDescent="0.55000000000000004">
      <c r="A73">
        <v>50</v>
      </c>
      <c r="B73">
        <v>128</v>
      </c>
      <c r="C73">
        <v>256</v>
      </c>
      <c r="D73">
        <v>2</v>
      </c>
      <c r="E73">
        <v>174.65</v>
      </c>
      <c r="F73">
        <v>18.861699999999999</v>
      </c>
      <c r="G73">
        <v>35.190300000000001</v>
      </c>
      <c r="H73">
        <f t="shared" si="2"/>
        <v>0.10799713713140566</v>
      </c>
      <c r="I73">
        <f t="shared" si="3"/>
        <v>0.20149040939020899</v>
      </c>
    </row>
    <row r="74" spans="1:9" x14ac:dyDescent="0.55000000000000004">
      <c r="A74">
        <v>50</v>
      </c>
      <c r="B74">
        <v>128</v>
      </c>
      <c r="C74">
        <v>256</v>
      </c>
      <c r="D74">
        <v>3</v>
      </c>
      <c r="E74">
        <v>194.77</v>
      </c>
      <c r="F74">
        <v>19.005600000000001</v>
      </c>
      <c r="G74">
        <v>43.324599999999997</v>
      </c>
      <c r="H74">
        <f t="shared" si="2"/>
        <v>9.7579709400831757E-2</v>
      </c>
      <c r="I74">
        <f t="shared" si="3"/>
        <v>0.22243980079067616</v>
      </c>
    </row>
    <row r="75" spans="1:9" x14ac:dyDescent="0.55000000000000004">
      <c r="A75">
        <v>50</v>
      </c>
      <c r="B75">
        <v>128</v>
      </c>
      <c r="C75">
        <v>256</v>
      </c>
      <c r="D75">
        <v>4</v>
      </c>
      <c r="E75">
        <v>238.54</v>
      </c>
      <c r="F75">
        <v>19.034800000000001</v>
      </c>
      <c r="G75">
        <v>40.999000000000002</v>
      </c>
      <c r="H75">
        <f t="shared" si="2"/>
        <v>7.9797099019032453E-2</v>
      </c>
      <c r="I75">
        <f t="shared" si="3"/>
        <v>0.17187473798943576</v>
      </c>
    </row>
    <row r="76" spans="1:9" x14ac:dyDescent="0.55000000000000004">
      <c r="A76">
        <v>50</v>
      </c>
      <c r="B76">
        <v>128</v>
      </c>
      <c r="C76">
        <v>256</v>
      </c>
      <c r="D76">
        <v>5</v>
      </c>
      <c r="E76">
        <v>278.99</v>
      </c>
      <c r="F76">
        <v>18.9925</v>
      </c>
      <c r="G76">
        <v>46.090699999999998</v>
      </c>
      <c r="H76">
        <f t="shared" si="2"/>
        <v>6.8075916699523273E-2</v>
      </c>
      <c r="I76">
        <f t="shared" si="3"/>
        <v>0.16520556292340227</v>
      </c>
    </row>
    <row r="77" spans="1:9" x14ac:dyDescent="0.55000000000000004">
      <c r="A77">
        <v>50</v>
      </c>
      <c r="B77">
        <v>64</v>
      </c>
      <c r="C77">
        <v>1024</v>
      </c>
      <c r="D77">
        <v>1</v>
      </c>
      <c r="E77">
        <v>133.19</v>
      </c>
      <c r="F77">
        <v>15.9217</v>
      </c>
      <c r="G77">
        <v>23.302199999999999</v>
      </c>
      <c r="H77">
        <f t="shared" si="2"/>
        <v>0.11954125685111494</v>
      </c>
      <c r="I77">
        <f t="shared" si="3"/>
        <v>0.17495457616938209</v>
      </c>
    </row>
    <row r="78" spans="1:9" x14ac:dyDescent="0.55000000000000004">
      <c r="A78">
        <v>50</v>
      </c>
      <c r="B78">
        <v>64</v>
      </c>
      <c r="C78">
        <v>1024</v>
      </c>
      <c r="D78">
        <v>2</v>
      </c>
      <c r="E78">
        <v>159.41</v>
      </c>
      <c r="F78">
        <v>16.839600000000001</v>
      </c>
      <c r="G78">
        <v>38.836399999999998</v>
      </c>
      <c r="H78">
        <f t="shared" si="2"/>
        <v>0.10563703657236059</v>
      </c>
      <c r="I78">
        <f t="shared" si="3"/>
        <v>0.24362587039708924</v>
      </c>
    </row>
    <row r="79" spans="1:9" x14ac:dyDescent="0.55000000000000004">
      <c r="A79">
        <v>50</v>
      </c>
      <c r="B79">
        <v>64</v>
      </c>
      <c r="C79">
        <v>1024</v>
      </c>
      <c r="D79">
        <v>3</v>
      </c>
      <c r="E79">
        <v>170.45</v>
      </c>
      <c r="F79">
        <v>17.107800000000001</v>
      </c>
      <c r="G79">
        <v>29.904199999999999</v>
      </c>
      <c r="H79">
        <f t="shared" si="2"/>
        <v>0.10036843649163979</v>
      </c>
      <c r="I79">
        <f t="shared" si="3"/>
        <v>0.17544265180404811</v>
      </c>
    </row>
    <row r="80" spans="1:9" x14ac:dyDescent="0.55000000000000004">
      <c r="A80">
        <v>50</v>
      </c>
      <c r="B80">
        <v>64</v>
      </c>
      <c r="C80">
        <v>1024</v>
      </c>
      <c r="D80">
        <v>4</v>
      </c>
      <c r="E80">
        <v>204.02</v>
      </c>
      <c r="F80">
        <v>17.463999999999999</v>
      </c>
      <c r="G80">
        <v>27.129300000000001</v>
      </c>
      <c r="H80">
        <f t="shared" si="2"/>
        <v>8.559945103421232E-2</v>
      </c>
      <c r="I80">
        <f t="shared" si="3"/>
        <v>0.1329737280658759</v>
      </c>
    </row>
    <row r="81" spans="1:9" x14ac:dyDescent="0.55000000000000004">
      <c r="A81">
        <v>50</v>
      </c>
      <c r="B81">
        <v>64</v>
      </c>
      <c r="C81">
        <v>1024</v>
      </c>
      <c r="D81">
        <v>5</v>
      </c>
      <c r="E81">
        <v>230.56</v>
      </c>
      <c r="F81">
        <v>17.112300000000001</v>
      </c>
      <c r="G81">
        <v>29.979199999999999</v>
      </c>
      <c r="H81">
        <f t="shared" si="2"/>
        <v>7.4220593337959759E-2</v>
      </c>
      <c r="I81">
        <f t="shared" si="3"/>
        <v>0.13002775850104092</v>
      </c>
    </row>
    <row r="82" spans="1:9" x14ac:dyDescent="0.55000000000000004">
      <c r="A82">
        <v>50</v>
      </c>
      <c r="B82">
        <v>64</v>
      </c>
      <c r="C82">
        <v>512</v>
      </c>
      <c r="D82">
        <v>1</v>
      </c>
      <c r="E82">
        <v>130.08000000000001</v>
      </c>
      <c r="F82">
        <v>18.223299999999998</v>
      </c>
      <c r="G82">
        <v>24.8996</v>
      </c>
      <c r="H82">
        <f t="shared" si="2"/>
        <v>0.14009301968019677</v>
      </c>
      <c r="I82">
        <f t="shared" si="3"/>
        <v>0.19141758917589174</v>
      </c>
    </row>
    <row r="83" spans="1:9" x14ac:dyDescent="0.55000000000000004">
      <c r="A83">
        <v>50</v>
      </c>
      <c r="B83">
        <v>64</v>
      </c>
      <c r="C83">
        <v>512</v>
      </c>
      <c r="D83">
        <v>2</v>
      </c>
      <c r="E83">
        <v>154.91999999999999</v>
      </c>
      <c r="F83">
        <v>16.099799999999998</v>
      </c>
      <c r="G83">
        <v>23.769400000000001</v>
      </c>
      <c r="H83">
        <f t="shared" si="2"/>
        <v>0.10392331525948877</v>
      </c>
      <c r="I83">
        <f t="shared" si="3"/>
        <v>0.15343015750064551</v>
      </c>
    </row>
    <row r="84" spans="1:9" x14ac:dyDescent="0.55000000000000004">
      <c r="A84">
        <v>50</v>
      </c>
      <c r="B84">
        <v>64</v>
      </c>
      <c r="C84">
        <v>512</v>
      </c>
      <c r="D84">
        <v>3</v>
      </c>
      <c r="E84">
        <v>167.38</v>
      </c>
      <c r="F84">
        <v>17.0716</v>
      </c>
      <c r="G84">
        <v>43.534100000000002</v>
      </c>
      <c r="H84">
        <f t="shared" si="2"/>
        <v>0.10199306966184729</v>
      </c>
      <c r="I84">
        <f t="shared" si="3"/>
        <v>0.26009140877046244</v>
      </c>
    </row>
    <row r="85" spans="1:9" x14ac:dyDescent="0.55000000000000004">
      <c r="A85">
        <v>50</v>
      </c>
      <c r="B85">
        <v>64</v>
      </c>
      <c r="C85">
        <v>512</v>
      </c>
      <c r="D85">
        <v>4</v>
      </c>
      <c r="E85">
        <v>199.54</v>
      </c>
      <c r="F85">
        <v>17.0123</v>
      </c>
      <c r="G85">
        <v>34.643000000000001</v>
      </c>
      <c r="H85">
        <f t="shared" si="2"/>
        <v>8.5257592462664136E-2</v>
      </c>
      <c r="I85">
        <f t="shared" si="3"/>
        <v>0.17361431291971535</v>
      </c>
    </row>
    <row r="86" spans="1:9" x14ac:dyDescent="0.55000000000000004">
      <c r="A86">
        <v>50</v>
      </c>
      <c r="B86">
        <v>64</v>
      </c>
      <c r="C86">
        <v>512</v>
      </c>
      <c r="D86">
        <v>5</v>
      </c>
      <c r="E86">
        <v>229.51</v>
      </c>
      <c r="F86">
        <v>17.0001</v>
      </c>
      <c r="G86">
        <v>35.317300000000003</v>
      </c>
      <c r="H86">
        <f t="shared" si="2"/>
        <v>7.4071282297067664E-2</v>
      </c>
      <c r="I86">
        <f t="shared" si="3"/>
        <v>0.15388131236111718</v>
      </c>
    </row>
    <row r="87" spans="1:9" x14ac:dyDescent="0.55000000000000004">
      <c r="A87">
        <v>50</v>
      </c>
      <c r="B87">
        <v>64</v>
      </c>
      <c r="C87">
        <v>256</v>
      </c>
      <c r="D87">
        <v>1</v>
      </c>
      <c r="E87">
        <v>96.23</v>
      </c>
      <c r="F87">
        <v>18.8719</v>
      </c>
      <c r="G87">
        <v>34.8292</v>
      </c>
      <c r="H87">
        <f t="shared" si="2"/>
        <v>0.1961124389483529</v>
      </c>
      <c r="I87">
        <f t="shared" si="3"/>
        <v>0.36193702587550658</v>
      </c>
    </row>
    <row r="88" spans="1:9" x14ac:dyDescent="0.55000000000000004">
      <c r="A88">
        <v>50</v>
      </c>
      <c r="B88">
        <v>64</v>
      </c>
      <c r="C88">
        <v>256</v>
      </c>
      <c r="D88">
        <v>2</v>
      </c>
      <c r="E88">
        <v>121.5</v>
      </c>
      <c r="F88">
        <v>18.8994</v>
      </c>
      <c r="G88">
        <v>33.767600000000002</v>
      </c>
      <c r="H88">
        <f t="shared" si="2"/>
        <v>0.15555061728395062</v>
      </c>
      <c r="I88">
        <f t="shared" si="3"/>
        <v>0.27792263374485598</v>
      </c>
    </row>
    <row r="89" spans="1:9" x14ac:dyDescent="0.55000000000000004">
      <c r="A89">
        <v>50</v>
      </c>
      <c r="B89">
        <v>64</v>
      </c>
      <c r="C89">
        <v>256</v>
      </c>
      <c r="D89">
        <v>3</v>
      </c>
      <c r="E89">
        <v>131.38999999999999</v>
      </c>
      <c r="F89">
        <v>19.025700000000001</v>
      </c>
      <c r="G89">
        <v>37.279200000000003</v>
      </c>
      <c r="H89">
        <f t="shared" si="2"/>
        <v>0.14480325747773806</v>
      </c>
      <c r="I89">
        <f t="shared" si="3"/>
        <v>0.28372935535428884</v>
      </c>
    </row>
    <row r="90" spans="1:9" x14ac:dyDescent="0.55000000000000004">
      <c r="A90">
        <v>50</v>
      </c>
      <c r="B90">
        <v>64</v>
      </c>
      <c r="C90">
        <v>256</v>
      </c>
      <c r="D90">
        <v>4</v>
      </c>
      <c r="E90">
        <v>166.83</v>
      </c>
      <c r="F90">
        <v>19.0152</v>
      </c>
      <c r="G90">
        <v>49.191299999999998</v>
      </c>
      <c r="H90">
        <f t="shared" si="2"/>
        <v>0.11397950008991188</v>
      </c>
      <c r="I90">
        <f t="shared" si="3"/>
        <v>0.2948588383384283</v>
      </c>
    </row>
    <row r="91" spans="1:9" x14ac:dyDescent="0.55000000000000004">
      <c r="A91">
        <v>50</v>
      </c>
      <c r="B91">
        <v>64</v>
      </c>
      <c r="C91">
        <v>256</v>
      </c>
      <c r="D91">
        <v>5</v>
      </c>
      <c r="E91">
        <v>194.8</v>
      </c>
      <c r="F91">
        <v>19.0137</v>
      </c>
      <c r="G91">
        <v>43.9788</v>
      </c>
      <c r="H91">
        <f t="shared" si="2"/>
        <v>9.7606262833675558E-2</v>
      </c>
      <c r="I91">
        <f t="shared" si="3"/>
        <v>0.22576386036960985</v>
      </c>
    </row>
    <row r="92" spans="1:9" x14ac:dyDescent="0.55000000000000004">
      <c r="H92">
        <f>MAX(H2:H91)</f>
        <v>0.1961124389483529</v>
      </c>
      <c r="I92">
        <f>MAX(I2:I91)</f>
        <v>0.36193702587550658</v>
      </c>
    </row>
    <row r="93" spans="1:9" x14ac:dyDescent="0.55000000000000004">
      <c r="H93">
        <f>MATCH(H92,H2:H91,0)</f>
        <v>86</v>
      </c>
      <c r="I93">
        <f>MATCH(I92,I2:I91,0)</f>
        <v>86</v>
      </c>
    </row>
  </sheetData>
  <sortState xmlns:xlrd2="http://schemas.microsoft.com/office/spreadsheetml/2017/richdata2" ref="A2:G19">
    <sortCondition descending="1" ref="A2:A19"/>
  </sortState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C295C-29DF-4327-A019-6A7C2DABAEBE}">
  <dimension ref="A1:S93"/>
  <sheetViews>
    <sheetView topLeftCell="A64" workbookViewId="0">
      <selection activeCell="L72" sqref="L72"/>
    </sheetView>
  </sheetViews>
  <sheetFormatPr defaultRowHeight="18" x14ac:dyDescent="0.55000000000000004"/>
  <cols>
    <col min="1" max="1" width="12.25" bestFit="1" customWidth="1"/>
    <col min="2" max="2" width="11.6640625" bestFit="1" customWidth="1"/>
    <col min="3" max="3" width="9.08203125" bestFit="1" customWidth="1"/>
    <col min="4" max="4" width="6.9140625" bestFit="1" customWidth="1"/>
    <col min="5" max="5" width="8.9140625" bestFit="1" customWidth="1"/>
    <col min="6" max="6" width="16" bestFit="1" customWidth="1"/>
    <col min="7" max="7" width="29.83203125" bestFit="1" customWidth="1"/>
    <col min="8" max="8" width="15.9140625" bestFit="1" customWidth="1"/>
    <col min="9" max="9" width="29.75" bestFit="1" customWidth="1"/>
    <col min="11" max="11" width="12.25" bestFit="1" customWidth="1"/>
    <col min="12" max="12" width="11.6640625" bestFit="1" customWidth="1"/>
    <col min="13" max="13" width="9.08203125" bestFit="1" customWidth="1"/>
    <col min="14" max="14" width="6.9140625" bestFit="1" customWidth="1"/>
    <col min="15" max="15" width="8.9140625" bestFit="1" customWidth="1"/>
    <col min="16" max="16" width="16" bestFit="1" customWidth="1"/>
    <col min="17" max="17" width="29.83203125" bestFit="1" customWidth="1"/>
    <col min="18" max="18" width="15.9140625" bestFit="1" customWidth="1"/>
    <col min="19" max="19" width="29.75" bestFit="1" customWidth="1"/>
  </cols>
  <sheetData>
    <row r="1" spans="1:19" x14ac:dyDescent="0.55000000000000004">
      <c r="A1" t="s">
        <v>1</v>
      </c>
      <c r="B1" t="s">
        <v>0</v>
      </c>
      <c r="C1" t="s">
        <v>2</v>
      </c>
      <c r="D1" t="s">
        <v>6</v>
      </c>
      <c r="E1" t="s">
        <v>3</v>
      </c>
      <c r="F1" t="s">
        <v>4</v>
      </c>
      <c r="G1" t="s">
        <v>5</v>
      </c>
      <c r="H1" t="s">
        <v>7</v>
      </c>
      <c r="I1" t="s">
        <v>8</v>
      </c>
      <c r="K1" t="s">
        <v>1</v>
      </c>
      <c r="L1" t="s">
        <v>0</v>
      </c>
      <c r="M1" t="s">
        <v>2</v>
      </c>
      <c r="N1" t="s">
        <v>6</v>
      </c>
      <c r="O1" t="s">
        <v>3</v>
      </c>
      <c r="P1" t="s">
        <v>4</v>
      </c>
      <c r="Q1" t="s">
        <v>5</v>
      </c>
      <c r="R1" t="s">
        <v>7</v>
      </c>
      <c r="S1" t="s">
        <v>8</v>
      </c>
    </row>
    <row r="2" spans="1:19" x14ac:dyDescent="0.55000000000000004">
      <c r="A2">
        <v>50</v>
      </c>
      <c r="B2">
        <v>64</v>
      </c>
      <c r="C2">
        <v>256</v>
      </c>
      <c r="D2">
        <v>1</v>
      </c>
      <c r="E2">
        <v>96.23</v>
      </c>
      <c r="F2">
        <v>18.8719</v>
      </c>
      <c r="G2">
        <v>34.8292</v>
      </c>
      <c r="H2">
        <f t="shared" ref="H2:H33" si="0">F2/E2</f>
        <v>0.1961124389483529</v>
      </c>
      <c r="I2">
        <f t="shared" ref="I2:I33" si="1">G2/E2</f>
        <v>0.36193702587550658</v>
      </c>
      <c r="K2">
        <v>50</v>
      </c>
      <c r="L2">
        <v>64</v>
      </c>
      <c r="M2">
        <v>256</v>
      </c>
      <c r="N2">
        <v>4</v>
      </c>
      <c r="O2">
        <v>166.83</v>
      </c>
      <c r="P2">
        <v>19.0152</v>
      </c>
      <c r="Q2">
        <v>49.191299999999998</v>
      </c>
      <c r="R2">
        <f t="shared" ref="R2:R23" si="2">P2/O2</f>
        <v>0.11397950008991188</v>
      </c>
      <c r="S2">
        <f t="shared" ref="S2:S23" si="3">Q2/O2</f>
        <v>0.2948588383384283</v>
      </c>
    </row>
    <row r="3" spans="1:19" x14ac:dyDescent="0.55000000000000004">
      <c r="A3">
        <v>50</v>
      </c>
      <c r="B3">
        <v>64</v>
      </c>
      <c r="C3">
        <v>256</v>
      </c>
      <c r="D3">
        <v>2</v>
      </c>
      <c r="E3">
        <v>121.5</v>
      </c>
      <c r="F3">
        <v>18.8994</v>
      </c>
      <c r="G3">
        <v>33.767600000000002</v>
      </c>
      <c r="H3">
        <f t="shared" si="0"/>
        <v>0.15555061728395062</v>
      </c>
      <c r="I3">
        <f t="shared" si="1"/>
        <v>0.27792263374485598</v>
      </c>
      <c r="K3">
        <v>50</v>
      </c>
      <c r="L3">
        <v>64</v>
      </c>
      <c r="M3">
        <v>256</v>
      </c>
      <c r="N3">
        <v>5</v>
      </c>
      <c r="O3">
        <v>194.8</v>
      </c>
      <c r="P3">
        <v>19.0137</v>
      </c>
      <c r="Q3">
        <v>43.9788</v>
      </c>
      <c r="R3">
        <f t="shared" si="2"/>
        <v>9.7606262833675558E-2</v>
      </c>
      <c r="S3">
        <f t="shared" si="3"/>
        <v>0.22576386036960985</v>
      </c>
    </row>
    <row r="4" spans="1:19" x14ac:dyDescent="0.55000000000000004">
      <c r="A4">
        <v>50</v>
      </c>
      <c r="B4">
        <v>64</v>
      </c>
      <c r="C4">
        <v>512</v>
      </c>
      <c r="D4">
        <v>1</v>
      </c>
      <c r="E4">
        <v>130.08000000000001</v>
      </c>
      <c r="F4">
        <v>18.223299999999998</v>
      </c>
      <c r="G4">
        <v>24.8996</v>
      </c>
      <c r="H4">
        <f t="shared" si="0"/>
        <v>0.14009301968019677</v>
      </c>
      <c r="I4">
        <f t="shared" si="1"/>
        <v>0.19141758917589174</v>
      </c>
      <c r="K4">
        <v>50</v>
      </c>
      <c r="L4">
        <v>128</v>
      </c>
      <c r="M4">
        <v>256</v>
      </c>
      <c r="N4">
        <v>3</v>
      </c>
      <c r="O4">
        <v>194.77</v>
      </c>
      <c r="P4">
        <v>19.005600000000001</v>
      </c>
      <c r="Q4">
        <v>43.324599999999997</v>
      </c>
      <c r="R4">
        <f t="shared" si="2"/>
        <v>9.7579709400831757E-2</v>
      </c>
      <c r="S4">
        <f t="shared" si="3"/>
        <v>0.22243980079067616</v>
      </c>
    </row>
    <row r="5" spans="1:19" x14ac:dyDescent="0.55000000000000004">
      <c r="A5">
        <v>50</v>
      </c>
      <c r="B5">
        <v>64</v>
      </c>
      <c r="C5">
        <v>256</v>
      </c>
      <c r="D5">
        <v>3</v>
      </c>
      <c r="E5">
        <v>131.38999999999999</v>
      </c>
      <c r="F5">
        <v>19.025700000000001</v>
      </c>
      <c r="G5">
        <v>37.279200000000003</v>
      </c>
      <c r="H5">
        <f t="shared" si="0"/>
        <v>0.14480325747773806</v>
      </c>
      <c r="I5">
        <f t="shared" si="1"/>
        <v>0.28372935535428884</v>
      </c>
      <c r="K5">
        <v>100</v>
      </c>
      <c r="L5">
        <v>64</v>
      </c>
      <c r="M5">
        <v>256</v>
      </c>
      <c r="N5">
        <v>4</v>
      </c>
      <c r="O5">
        <v>207.54</v>
      </c>
      <c r="P5">
        <v>18.525700000000001</v>
      </c>
      <c r="Q5">
        <v>43.077199999999998</v>
      </c>
      <c r="R5">
        <f t="shared" si="2"/>
        <v>8.9263274549484448E-2</v>
      </c>
      <c r="S5">
        <f t="shared" si="3"/>
        <v>0.2075609521056182</v>
      </c>
    </row>
    <row r="6" spans="1:19" x14ac:dyDescent="0.55000000000000004">
      <c r="A6">
        <v>100</v>
      </c>
      <c r="B6">
        <v>64</v>
      </c>
      <c r="C6">
        <v>256</v>
      </c>
      <c r="D6">
        <v>1</v>
      </c>
      <c r="E6">
        <v>131.9</v>
      </c>
      <c r="F6">
        <v>18.3934</v>
      </c>
      <c r="G6">
        <v>33.802999999999997</v>
      </c>
      <c r="H6">
        <f t="shared" si="0"/>
        <v>0.13944958301743746</v>
      </c>
      <c r="I6">
        <f t="shared" si="1"/>
        <v>0.25627748294162239</v>
      </c>
      <c r="K6">
        <v>50</v>
      </c>
      <c r="L6">
        <v>64</v>
      </c>
      <c r="M6">
        <v>256</v>
      </c>
      <c r="N6">
        <v>3</v>
      </c>
      <c r="O6">
        <v>131.38999999999999</v>
      </c>
      <c r="P6">
        <v>19.025700000000001</v>
      </c>
      <c r="Q6">
        <v>37.279200000000003</v>
      </c>
      <c r="R6">
        <f t="shared" si="2"/>
        <v>0.14480325747773806</v>
      </c>
      <c r="S6">
        <f t="shared" si="3"/>
        <v>0.28372935535428884</v>
      </c>
    </row>
    <row r="7" spans="1:19" x14ac:dyDescent="0.55000000000000004">
      <c r="A7">
        <v>50</v>
      </c>
      <c r="B7">
        <v>64</v>
      </c>
      <c r="C7">
        <v>1024</v>
      </c>
      <c r="D7">
        <v>1</v>
      </c>
      <c r="E7">
        <v>133.19</v>
      </c>
      <c r="F7">
        <v>15.9217</v>
      </c>
      <c r="G7">
        <v>23.302199999999999</v>
      </c>
      <c r="H7">
        <f t="shared" si="0"/>
        <v>0.11954125685111494</v>
      </c>
      <c r="I7">
        <f t="shared" si="1"/>
        <v>0.17495457616938209</v>
      </c>
      <c r="K7">
        <v>50</v>
      </c>
      <c r="L7">
        <v>128</v>
      </c>
      <c r="M7">
        <v>256</v>
      </c>
      <c r="N7">
        <v>2</v>
      </c>
      <c r="O7">
        <v>174.65</v>
      </c>
      <c r="P7">
        <v>18.861699999999999</v>
      </c>
      <c r="Q7">
        <v>35.190300000000001</v>
      </c>
      <c r="R7">
        <f t="shared" si="2"/>
        <v>0.10799713713140566</v>
      </c>
      <c r="S7">
        <f t="shared" si="3"/>
        <v>0.20149040939020899</v>
      </c>
    </row>
    <row r="8" spans="1:19" x14ac:dyDescent="0.55000000000000004">
      <c r="A8">
        <v>50</v>
      </c>
      <c r="B8">
        <v>128</v>
      </c>
      <c r="C8">
        <v>256</v>
      </c>
      <c r="D8">
        <v>1</v>
      </c>
      <c r="E8">
        <v>142.07</v>
      </c>
      <c r="F8">
        <v>17.575800000000001</v>
      </c>
      <c r="G8">
        <v>25.2117</v>
      </c>
      <c r="H8">
        <f t="shared" si="0"/>
        <v>0.12371225452241853</v>
      </c>
      <c r="I8">
        <f t="shared" si="1"/>
        <v>0.17745970296332794</v>
      </c>
      <c r="K8">
        <v>50</v>
      </c>
      <c r="L8">
        <v>64</v>
      </c>
      <c r="M8">
        <v>256</v>
      </c>
      <c r="N8">
        <v>1</v>
      </c>
      <c r="O8">
        <v>96.23</v>
      </c>
      <c r="P8">
        <v>18.8719</v>
      </c>
      <c r="Q8">
        <v>34.8292</v>
      </c>
      <c r="R8">
        <f t="shared" si="2"/>
        <v>0.1961124389483529</v>
      </c>
      <c r="S8">
        <f t="shared" si="3"/>
        <v>0.36193702587550658</v>
      </c>
    </row>
    <row r="9" spans="1:19" x14ac:dyDescent="0.55000000000000004">
      <c r="A9">
        <v>50</v>
      </c>
      <c r="B9">
        <v>64</v>
      </c>
      <c r="C9">
        <v>512</v>
      </c>
      <c r="D9">
        <v>2</v>
      </c>
      <c r="E9">
        <v>154.91999999999999</v>
      </c>
      <c r="F9">
        <v>16.099799999999998</v>
      </c>
      <c r="G9">
        <v>23.769400000000001</v>
      </c>
      <c r="H9">
        <f t="shared" si="0"/>
        <v>0.10392331525948877</v>
      </c>
      <c r="I9">
        <f t="shared" si="1"/>
        <v>0.15343015750064551</v>
      </c>
      <c r="K9">
        <v>100</v>
      </c>
      <c r="L9">
        <v>64</v>
      </c>
      <c r="M9">
        <v>256</v>
      </c>
      <c r="N9">
        <v>1</v>
      </c>
      <c r="O9">
        <v>131.9</v>
      </c>
      <c r="P9">
        <v>18.3934</v>
      </c>
      <c r="Q9">
        <v>33.802999999999997</v>
      </c>
      <c r="R9">
        <f t="shared" si="2"/>
        <v>0.13944958301743746</v>
      </c>
      <c r="S9">
        <f t="shared" si="3"/>
        <v>0.25627748294162239</v>
      </c>
    </row>
    <row r="10" spans="1:19" x14ac:dyDescent="0.55000000000000004">
      <c r="A10">
        <v>50</v>
      </c>
      <c r="B10">
        <v>64</v>
      </c>
      <c r="C10">
        <v>1024</v>
      </c>
      <c r="D10">
        <v>2</v>
      </c>
      <c r="E10">
        <v>159.41</v>
      </c>
      <c r="F10">
        <v>16.839600000000001</v>
      </c>
      <c r="G10">
        <v>38.836399999999998</v>
      </c>
      <c r="H10">
        <f t="shared" si="0"/>
        <v>0.10563703657236059</v>
      </c>
      <c r="I10">
        <f t="shared" si="1"/>
        <v>0.24362587039708924</v>
      </c>
      <c r="K10">
        <v>50</v>
      </c>
      <c r="L10">
        <v>64</v>
      </c>
      <c r="M10">
        <v>256</v>
      </c>
      <c r="N10">
        <v>2</v>
      </c>
      <c r="O10">
        <v>121.5</v>
      </c>
      <c r="P10">
        <v>18.8994</v>
      </c>
      <c r="Q10">
        <v>33.767600000000002</v>
      </c>
      <c r="R10">
        <f t="shared" si="2"/>
        <v>0.15555061728395062</v>
      </c>
      <c r="S10">
        <f t="shared" si="3"/>
        <v>0.27792263374485598</v>
      </c>
    </row>
    <row r="11" spans="1:19" x14ac:dyDescent="0.55000000000000004">
      <c r="A11">
        <v>100</v>
      </c>
      <c r="B11">
        <v>64</v>
      </c>
      <c r="C11">
        <v>256</v>
      </c>
      <c r="D11">
        <v>2</v>
      </c>
      <c r="E11">
        <v>160.56</v>
      </c>
      <c r="F11">
        <v>19.246200000000002</v>
      </c>
      <c r="G11">
        <v>28.049800000000001</v>
      </c>
      <c r="H11">
        <f t="shared" si="0"/>
        <v>0.11986920777279522</v>
      </c>
      <c r="I11">
        <f t="shared" si="1"/>
        <v>0.17469980069755855</v>
      </c>
      <c r="K11">
        <v>100</v>
      </c>
      <c r="L11">
        <v>64</v>
      </c>
      <c r="M11">
        <v>256</v>
      </c>
      <c r="N11">
        <v>2</v>
      </c>
      <c r="O11">
        <v>160.56</v>
      </c>
      <c r="P11">
        <v>19.246200000000002</v>
      </c>
      <c r="Q11">
        <v>28.049800000000001</v>
      </c>
      <c r="R11">
        <f t="shared" si="2"/>
        <v>0.11986920777279522</v>
      </c>
      <c r="S11">
        <f t="shared" si="3"/>
        <v>0.17469980069755855</v>
      </c>
    </row>
    <row r="12" spans="1:19" x14ac:dyDescent="0.55000000000000004">
      <c r="A12">
        <v>50</v>
      </c>
      <c r="B12">
        <v>64</v>
      </c>
      <c r="C12">
        <v>256</v>
      </c>
      <c r="D12">
        <v>4</v>
      </c>
      <c r="E12">
        <v>166.83</v>
      </c>
      <c r="F12">
        <v>19.0152</v>
      </c>
      <c r="G12">
        <v>49.191299999999998</v>
      </c>
      <c r="H12">
        <f t="shared" si="0"/>
        <v>0.11397950008991188</v>
      </c>
      <c r="I12">
        <f t="shared" si="1"/>
        <v>0.2948588383384283</v>
      </c>
      <c r="K12">
        <v>200</v>
      </c>
      <c r="L12">
        <v>64</v>
      </c>
      <c r="M12">
        <v>256</v>
      </c>
      <c r="N12">
        <v>1</v>
      </c>
      <c r="O12">
        <v>185.77</v>
      </c>
      <c r="P12">
        <v>18.5869</v>
      </c>
      <c r="Q12">
        <v>27.626200000000001</v>
      </c>
      <c r="R12">
        <f t="shared" si="2"/>
        <v>0.10005329170479625</v>
      </c>
      <c r="S12">
        <f t="shared" si="3"/>
        <v>0.14871184798406631</v>
      </c>
    </row>
    <row r="13" spans="1:19" x14ac:dyDescent="0.55000000000000004">
      <c r="A13">
        <v>50</v>
      </c>
      <c r="B13">
        <v>64</v>
      </c>
      <c r="C13">
        <v>512</v>
      </c>
      <c r="D13">
        <v>3</v>
      </c>
      <c r="E13">
        <v>167.38</v>
      </c>
      <c r="F13">
        <v>17.0716</v>
      </c>
      <c r="G13">
        <v>43.534100000000002</v>
      </c>
      <c r="H13">
        <f t="shared" si="0"/>
        <v>0.10199306966184729</v>
      </c>
      <c r="I13">
        <f t="shared" si="1"/>
        <v>0.26009140877046244</v>
      </c>
      <c r="K13">
        <v>100</v>
      </c>
      <c r="L13">
        <v>128</v>
      </c>
      <c r="M13">
        <v>256</v>
      </c>
      <c r="N13">
        <v>1</v>
      </c>
      <c r="O13">
        <v>186.27</v>
      </c>
      <c r="P13">
        <v>18.958600000000001</v>
      </c>
      <c r="Q13">
        <v>27.572299999999998</v>
      </c>
      <c r="R13">
        <f t="shared" si="2"/>
        <v>0.1017802115209105</v>
      </c>
      <c r="S13">
        <f t="shared" si="3"/>
        <v>0.14802329951146184</v>
      </c>
    </row>
    <row r="14" spans="1:19" x14ac:dyDescent="0.55000000000000004">
      <c r="A14">
        <v>50</v>
      </c>
      <c r="B14">
        <v>64</v>
      </c>
      <c r="C14">
        <v>1024</v>
      </c>
      <c r="D14">
        <v>3</v>
      </c>
      <c r="E14">
        <v>170.45</v>
      </c>
      <c r="F14">
        <v>17.107800000000001</v>
      </c>
      <c r="G14">
        <v>29.904199999999999</v>
      </c>
      <c r="H14">
        <f t="shared" si="0"/>
        <v>0.10036843649163979</v>
      </c>
      <c r="I14">
        <f t="shared" si="1"/>
        <v>0.17544265180404811</v>
      </c>
      <c r="K14">
        <v>100</v>
      </c>
      <c r="L14">
        <v>64</v>
      </c>
      <c r="M14">
        <v>256</v>
      </c>
      <c r="N14">
        <v>3</v>
      </c>
      <c r="O14">
        <v>172.05</v>
      </c>
      <c r="P14">
        <v>18.739599999999999</v>
      </c>
      <c r="Q14">
        <v>25.623999999999999</v>
      </c>
      <c r="R14">
        <f t="shared" si="2"/>
        <v>0.10891950014530659</v>
      </c>
      <c r="S14">
        <f t="shared" si="3"/>
        <v>0.14893344957861085</v>
      </c>
    </row>
    <row r="15" spans="1:19" x14ac:dyDescent="0.55000000000000004">
      <c r="A15">
        <v>100</v>
      </c>
      <c r="B15">
        <v>64</v>
      </c>
      <c r="C15">
        <v>256</v>
      </c>
      <c r="D15">
        <v>3</v>
      </c>
      <c r="E15">
        <v>172.05</v>
      </c>
      <c r="F15">
        <v>18.739599999999999</v>
      </c>
      <c r="G15">
        <v>25.623999999999999</v>
      </c>
      <c r="H15">
        <f t="shared" si="0"/>
        <v>0.10891950014530659</v>
      </c>
      <c r="I15">
        <f t="shared" si="1"/>
        <v>0.14893344957861085</v>
      </c>
      <c r="K15">
        <v>50</v>
      </c>
      <c r="L15">
        <v>128</v>
      </c>
      <c r="M15">
        <v>256</v>
      </c>
      <c r="N15">
        <v>1</v>
      </c>
      <c r="O15">
        <v>142.07</v>
      </c>
      <c r="P15">
        <v>17.575800000000001</v>
      </c>
      <c r="Q15">
        <v>25.2117</v>
      </c>
      <c r="R15">
        <f t="shared" si="2"/>
        <v>0.12371225452241853</v>
      </c>
      <c r="S15">
        <f t="shared" si="3"/>
        <v>0.17745970296332794</v>
      </c>
    </row>
    <row r="16" spans="1:19" x14ac:dyDescent="0.55000000000000004">
      <c r="A16">
        <v>50</v>
      </c>
      <c r="B16">
        <v>128</v>
      </c>
      <c r="C16">
        <v>256</v>
      </c>
      <c r="D16">
        <v>2</v>
      </c>
      <c r="E16">
        <v>174.65</v>
      </c>
      <c r="F16">
        <v>18.861699999999999</v>
      </c>
      <c r="G16">
        <v>35.190300000000001</v>
      </c>
      <c r="H16">
        <f t="shared" si="0"/>
        <v>0.10799713713140566</v>
      </c>
      <c r="I16">
        <f t="shared" si="1"/>
        <v>0.20149040939020899</v>
      </c>
      <c r="K16">
        <v>50</v>
      </c>
      <c r="L16">
        <v>64</v>
      </c>
      <c r="M16">
        <v>512</v>
      </c>
      <c r="N16">
        <v>3</v>
      </c>
      <c r="O16">
        <v>167.38</v>
      </c>
      <c r="P16">
        <v>17.0716</v>
      </c>
      <c r="Q16">
        <v>43.534100000000002</v>
      </c>
      <c r="R16">
        <f t="shared" si="2"/>
        <v>0.10199306966184729</v>
      </c>
      <c r="S16">
        <f t="shared" si="3"/>
        <v>0.26009140877046244</v>
      </c>
    </row>
    <row r="17" spans="1:19" x14ac:dyDescent="0.55000000000000004">
      <c r="A17">
        <v>200</v>
      </c>
      <c r="B17">
        <v>64</v>
      </c>
      <c r="C17">
        <v>256</v>
      </c>
      <c r="D17">
        <v>1</v>
      </c>
      <c r="E17">
        <v>185.77</v>
      </c>
      <c r="F17">
        <v>18.5869</v>
      </c>
      <c r="G17">
        <v>27.626200000000001</v>
      </c>
      <c r="H17">
        <f t="shared" si="0"/>
        <v>0.10005329170479625</v>
      </c>
      <c r="I17">
        <f t="shared" si="1"/>
        <v>0.14871184798406631</v>
      </c>
      <c r="K17">
        <v>50</v>
      </c>
      <c r="L17">
        <v>64</v>
      </c>
      <c r="M17">
        <v>512</v>
      </c>
      <c r="N17">
        <v>4</v>
      </c>
      <c r="O17">
        <v>199.54</v>
      </c>
      <c r="P17">
        <v>17.0123</v>
      </c>
      <c r="Q17">
        <v>34.643000000000001</v>
      </c>
      <c r="R17">
        <f t="shared" si="2"/>
        <v>8.5257592462664136E-2</v>
      </c>
      <c r="S17">
        <f t="shared" si="3"/>
        <v>0.17361431291971535</v>
      </c>
    </row>
    <row r="18" spans="1:19" x14ac:dyDescent="0.55000000000000004">
      <c r="A18">
        <v>100</v>
      </c>
      <c r="B18">
        <v>128</v>
      </c>
      <c r="C18">
        <v>256</v>
      </c>
      <c r="D18">
        <v>1</v>
      </c>
      <c r="E18">
        <v>186.27</v>
      </c>
      <c r="F18">
        <v>18.958600000000001</v>
      </c>
      <c r="G18">
        <v>27.572299999999998</v>
      </c>
      <c r="H18">
        <f t="shared" si="0"/>
        <v>0.1017802115209105</v>
      </c>
      <c r="I18">
        <f t="shared" si="1"/>
        <v>0.14802329951146184</v>
      </c>
      <c r="K18">
        <v>50</v>
      </c>
      <c r="L18">
        <v>64</v>
      </c>
      <c r="M18">
        <v>512</v>
      </c>
      <c r="N18">
        <v>1</v>
      </c>
      <c r="O18">
        <v>130.08000000000001</v>
      </c>
      <c r="P18">
        <v>18.223299999999998</v>
      </c>
      <c r="Q18">
        <v>24.8996</v>
      </c>
      <c r="R18">
        <f t="shared" si="2"/>
        <v>0.14009301968019677</v>
      </c>
      <c r="S18">
        <f t="shared" si="3"/>
        <v>0.19141758917589174</v>
      </c>
    </row>
    <row r="19" spans="1:19" x14ac:dyDescent="0.55000000000000004">
      <c r="A19">
        <v>50</v>
      </c>
      <c r="B19">
        <v>128</v>
      </c>
      <c r="C19">
        <v>256</v>
      </c>
      <c r="D19">
        <v>3</v>
      </c>
      <c r="E19">
        <v>194.77</v>
      </c>
      <c r="F19">
        <v>19.005600000000001</v>
      </c>
      <c r="G19">
        <v>43.324599999999997</v>
      </c>
      <c r="H19">
        <f t="shared" si="0"/>
        <v>9.7579709400831757E-2</v>
      </c>
      <c r="I19">
        <f t="shared" si="1"/>
        <v>0.22243980079067616</v>
      </c>
      <c r="K19">
        <v>50</v>
      </c>
      <c r="L19">
        <v>64</v>
      </c>
      <c r="M19">
        <v>512</v>
      </c>
      <c r="N19">
        <v>2</v>
      </c>
      <c r="O19">
        <v>154.91999999999999</v>
      </c>
      <c r="P19">
        <v>16.099799999999998</v>
      </c>
      <c r="Q19">
        <v>23.769400000000001</v>
      </c>
      <c r="R19">
        <f t="shared" si="2"/>
        <v>0.10392331525948877</v>
      </c>
      <c r="S19">
        <f t="shared" si="3"/>
        <v>0.15343015750064551</v>
      </c>
    </row>
    <row r="20" spans="1:19" x14ac:dyDescent="0.55000000000000004">
      <c r="A20">
        <v>50</v>
      </c>
      <c r="B20">
        <v>64</v>
      </c>
      <c r="C20">
        <v>256</v>
      </c>
      <c r="D20">
        <v>5</v>
      </c>
      <c r="E20">
        <v>194.8</v>
      </c>
      <c r="F20">
        <v>19.0137</v>
      </c>
      <c r="G20">
        <v>43.9788</v>
      </c>
      <c r="H20">
        <f t="shared" si="0"/>
        <v>9.7606262833675558E-2</v>
      </c>
      <c r="I20">
        <f t="shared" si="1"/>
        <v>0.22576386036960985</v>
      </c>
      <c r="K20">
        <v>50</v>
      </c>
      <c r="L20">
        <v>64</v>
      </c>
      <c r="M20">
        <v>1024</v>
      </c>
      <c r="N20">
        <v>2</v>
      </c>
      <c r="O20">
        <v>159.41</v>
      </c>
      <c r="P20">
        <v>16.839600000000001</v>
      </c>
      <c r="Q20">
        <v>38.836399999999998</v>
      </c>
      <c r="R20">
        <f t="shared" si="2"/>
        <v>0.10563703657236059</v>
      </c>
      <c r="S20">
        <f t="shared" si="3"/>
        <v>0.24362587039708924</v>
      </c>
    </row>
    <row r="21" spans="1:19" x14ac:dyDescent="0.55000000000000004">
      <c r="A21">
        <v>50</v>
      </c>
      <c r="B21">
        <v>64</v>
      </c>
      <c r="C21">
        <v>512</v>
      </c>
      <c r="D21">
        <v>4</v>
      </c>
      <c r="E21">
        <v>199.54</v>
      </c>
      <c r="F21">
        <v>17.0123</v>
      </c>
      <c r="G21">
        <v>34.643000000000001</v>
      </c>
      <c r="H21">
        <f t="shared" si="0"/>
        <v>8.5257592462664136E-2</v>
      </c>
      <c r="I21">
        <f t="shared" si="1"/>
        <v>0.17361431291971535</v>
      </c>
      <c r="K21">
        <v>50</v>
      </c>
      <c r="L21">
        <v>64</v>
      </c>
      <c r="M21">
        <v>1024</v>
      </c>
      <c r="N21">
        <v>3</v>
      </c>
      <c r="O21">
        <v>170.45</v>
      </c>
      <c r="P21">
        <v>17.107800000000001</v>
      </c>
      <c r="Q21">
        <v>29.904199999999999</v>
      </c>
      <c r="R21">
        <f t="shared" si="2"/>
        <v>0.10036843649163979</v>
      </c>
      <c r="S21">
        <f t="shared" si="3"/>
        <v>0.17544265180404811</v>
      </c>
    </row>
    <row r="22" spans="1:19" x14ac:dyDescent="0.55000000000000004">
      <c r="A22">
        <v>50</v>
      </c>
      <c r="B22">
        <v>64</v>
      </c>
      <c r="C22">
        <v>1024</v>
      </c>
      <c r="D22">
        <v>4</v>
      </c>
      <c r="E22">
        <v>204.02</v>
      </c>
      <c r="F22">
        <v>17.463999999999999</v>
      </c>
      <c r="G22">
        <v>27.129300000000001</v>
      </c>
      <c r="H22">
        <f t="shared" si="0"/>
        <v>8.559945103421232E-2</v>
      </c>
      <c r="I22">
        <f t="shared" si="1"/>
        <v>0.1329737280658759</v>
      </c>
      <c r="K22">
        <v>50</v>
      </c>
      <c r="L22">
        <v>64</v>
      </c>
      <c r="M22">
        <v>1024</v>
      </c>
      <c r="N22">
        <v>4</v>
      </c>
      <c r="O22">
        <v>204.02</v>
      </c>
      <c r="P22">
        <v>17.463999999999999</v>
      </c>
      <c r="Q22">
        <v>27.129300000000001</v>
      </c>
      <c r="R22">
        <f t="shared" si="2"/>
        <v>8.559945103421232E-2</v>
      </c>
      <c r="S22">
        <f t="shared" si="3"/>
        <v>0.1329737280658759</v>
      </c>
    </row>
    <row r="23" spans="1:19" x14ac:dyDescent="0.55000000000000004">
      <c r="A23">
        <v>100</v>
      </c>
      <c r="B23">
        <v>64</v>
      </c>
      <c r="C23">
        <v>256</v>
      </c>
      <c r="D23">
        <v>4</v>
      </c>
      <c r="E23">
        <v>207.54</v>
      </c>
      <c r="F23">
        <v>18.525700000000001</v>
      </c>
      <c r="G23">
        <v>43.077199999999998</v>
      </c>
      <c r="H23">
        <f t="shared" si="0"/>
        <v>8.9263274549484448E-2</v>
      </c>
      <c r="I23">
        <f t="shared" si="1"/>
        <v>0.2075609521056182</v>
      </c>
      <c r="K23">
        <v>50</v>
      </c>
      <c r="L23">
        <v>64</v>
      </c>
      <c r="M23">
        <v>1024</v>
      </c>
      <c r="N23">
        <v>1</v>
      </c>
      <c r="O23">
        <v>133.19</v>
      </c>
      <c r="P23">
        <v>15.9217</v>
      </c>
      <c r="Q23">
        <v>23.302199999999999</v>
      </c>
      <c r="R23">
        <f t="shared" si="2"/>
        <v>0.11954125685111494</v>
      </c>
      <c r="S23">
        <f t="shared" si="3"/>
        <v>0.17495457616938209</v>
      </c>
    </row>
    <row r="24" spans="1:19" x14ac:dyDescent="0.55000000000000004">
      <c r="A24">
        <v>100</v>
      </c>
      <c r="B24">
        <v>64</v>
      </c>
      <c r="C24">
        <v>512</v>
      </c>
      <c r="D24">
        <v>1</v>
      </c>
      <c r="E24">
        <v>214.63</v>
      </c>
      <c r="F24">
        <v>17.699400000000001</v>
      </c>
      <c r="G24">
        <v>26.049700000000001</v>
      </c>
      <c r="H24">
        <f t="shared" si="0"/>
        <v>8.2464706704561339E-2</v>
      </c>
      <c r="I24">
        <f t="shared" si="1"/>
        <v>0.12137026510739413</v>
      </c>
    </row>
    <row r="25" spans="1:19" x14ac:dyDescent="0.55000000000000004">
      <c r="A25">
        <v>200</v>
      </c>
      <c r="B25">
        <v>64</v>
      </c>
      <c r="C25">
        <v>256</v>
      </c>
      <c r="D25">
        <v>2</v>
      </c>
      <c r="E25">
        <v>215.26</v>
      </c>
      <c r="F25">
        <v>18.526199999999999</v>
      </c>
      <c r="G25">
        <v>30.394600000000001</v>
      </c>
      <c r="H25">
        <f t="shared" si="0"/>
        <v>8.6064294341726286E-2</v>
      </c>
      <c r="I25">
        <f t="shared" si="1"/>
        <v>0.14119947969896871</v>
      </c>
    </row>
    <row r="26" spans="1:19" x14ac:dyDescent="0.55000000000000004">
      <c r="A26">
        <v>50</v>
      </c>
      <c r="B26">
        <v>128</v>
      </c>
      <c r="C26">
        <v>512</v>
      </c>
      <c r="D26">
        <v>1</v>
      </c>
      <c r="E26">
        <v>215.57</v>
      </c>
      <c r="F26">
        <v>18.371500000000001</v>
      </c>
      <c r="G26">
        <v>24.2652</v>
      </c>
      <c r="H26">
        <f t="shared" si="0"/>
        <v>8.5222897434707998E-2</v>
      </c>
      <c r="I26">
        <f t="shared" si="1"/>
        <v>0.11256297258431136</v>
      </c>
    </row>
    <row r="27" spans="1:19" x14ac:dyDescent="0.55000000000000004">
      <c r="A27">
        <v>50</v>
      </c>
      <c r="B27">
        <v>128</v>
      </c>
      <c r="C27">
        <v>1024</v>
      </c>
      <c r="D27">
        <v>1</v>
      </c>
      <c r="E27">
        <v>217.14</v>
      </c>
      <c r="F27">
        <v>15.8338</v>
      </c>
      <c r="G27">
        <v>22.8752</v>
      </c>
      <c r="H27">
        <f t="shared" si="0"/>
        <v>7.2919775260200798E-2</v>
      </c>
      <c r="I27">
        <f t="shared" si="1"/>
        <v>0.10534770194344663</v>
      </c>
    </row>
    <row r="28" spans="1:19" x14ac:dyDescent="0.55000000000000004">
      <c r="A28">
        <v>100</v>
      </c>
      <c r="B28">
        <v>128</v>
      </c>
      <c r="C28">
        <v>256</v>
      </c>
      <c r="D28">
        <v>2</v>
      </c>
      <c r="E28">
        <v>223.94</v>
      </c>
      <c r="F28">
        <v>18.420200000000001</v>
      </c>
      <c r="G28">
        <v>34.814500000000002</v>
      </c>
      <c r="H28">
        <f t="shared" si="0"/>
        <v>8.2255068321871933E-2</v>
      </c>
      <c r="I28">
        <f t="shared" si="1"/>
        <v>0.15546351701348576</v>
      </c>
    </row>
    <row r="29" spans="1:19" x14ac:dyDescent="0.55000000000000004">
      <c r="A29">
        <v>200</v>
      </c>
      <c r="B29">
        <v>64</v>
      </c>
      <c r="C29">
        <v>256</v>
      </c>
      <c r="D29">
        <v>3</v>
      </c>
      <c r="E29">
        <v>226.41</v>
      </c>
      <c r="F29">
        <v>18.9725</v>
      </c>
      <c r="G29">
        <v>28.3385</v>
      </c>
      <c r="H29">
        <f t="shared" si="0"/>
        <v>8.3797093767943115E-2</v>
      </c>
      <c r="I29">
        <f t="shared" si="1"/>
        <v>0.12516452453513538</v>
      </c>
    </row>
    <row r="30" spans="1:19" x14ac:dyDescent="0.55000000000000004">
      <c r="A30">
        <v>50</v>
      </c>
      <c r="B30">
        <v>64</v>
      </c>
      <c r="C30">
        <v>512</v>
      </c>
      <c r="D30">
        <v>5</v>
      </c>
      <c r="E30">
        <v>229.51</v>
      </c>
      <c r="F30">
        <v>17.0001</v>
      </c>
      <c r="G30">
        <v>35.317300000000003</v>
      </c>
      <c r="H30">
        <f t="shared" si="0"/>
        <v>7.4071282297067664E-2</v>
      </c>
      <c r="I30">
        <f t="shared" si="1"/>
        <v>0.15388131236111718</v>
      </c>
    </row>
    <row r="31" spans="1:19" x14ac:dyDescent="0.55000000000000004">
      <c r="A31">
        <v>50</v>
      </c>
      <c r="B31">
        <v>64</v>
      </c>
      <c r="C31">
        <v>1024</v>
      </c>
      <c r="D31">
        <v>5</v>
      </c>
      <c r="E31">
        <v>230.56</v>
      </c>
      <c r="F31">
        <v>17.112300000000001</v>
      </c>
      <c r="G31">
        <v>29.979199999999999</v>
      </c>
      <c r="H31">
        <f t="shared" si="0"/>
        <v>7.4220593337959759E-2</v>
      </c>
      <c r="I31">
        <f t="shared" si="1"/>
        <v>0.13002775850104092</v>
      </c>
    </row>
    <row r="32" spans="1:19" x14ac:dyDescent="0.55000000000000004">
      <c r="A32">
        <v>100</v>
      </c>
      <c r="B32">
        <v>64</v>
      </c>
      <c r="C32">
        <v>256</v>
      </c>
      <c r="D32">
        <v>5</v>
      </c>
      <c r="E32">
        <v>235.75</v>
      </c>
      <c r="F32">
        <v>19.317900000000002</v>
      </c>
      <c r="G32">
        <v>28.626200000000001</v>
      </c>
      <c r="H32">
        <f t="shared" si="0"/>
        <v>8.1942311770943799E-2</v>
      </c>
      <c r="I32">
        <f t="shared" si="1"/>
        <v>0.12142608695652174</v>
      </c>
    </row>
    <row r="33" spans="1:9" x14ac:dyDescent="0.55000000000000004">
      <c r="A33">
        <v>50</v>
      </c>
      <c r="B33">
        <v>128</v>
      </c>
      <c r="C33">
        <v>256</v>
      </c>
      <c r="D33">
        <v>4</v>
      </c>
      <c r="E33">
        <v>238.54</v>
      </c>
      <c r="F33">
        <v>19.034800000000001</v>
      </c>
      <c r="G33">
        <v>40.999000000000002</v>
      </c>
      <c r="H33">
        <f t="shared" si="0"/>
        <v>7.9797099019032453E-2</v>
      </c>
      <c r="I33">
        <f t="shared" si="1"/>
        <v>0.17187473798943576</v>
      </c>
    </row>
    <row r="34" spans="1:9" x14ac:dyDescent="0.55000000000000004">
      <c r="A34">
        <v>200</v>
      </c>
      <c r="B34">
        <v>64</v>
      </c>
      <c r="C34">
        <v>512</v>
      </c>
      <c r="D34">
        <v>3</v>
      </c>
      <c r="E34">
        <v>240.24</v>
      </c>
      <c r="F34">
        <v>16.1067</v>
      </c>
      <c r="G34">
        <v>25.5319</v>
      </c>
      <c r="H34">
        <f t="shared" ref="H34:H65" si="4">F34/E34</f>
        <v>6.7044205794205794E-2</v>
      </c>
      <c r="I34">
        <f t="shared" ref="I34:I65" si="5">G34/E34</f>
        <v>0.10627664002664003</v>
      </c>
    </row>
    <row r="35" spans="1:9" x14ac:dyDescent="0.55000000000000004">
      <c r="A35">
        <v>200</v>
      </c>
      <c r="B35">
        <v>64</v>
      </c>
      <c r="C35">
        <v>512</v>
      </c>
      <c r="D35">
        <v>1</v>
      </c>
      <c r="E35">
        <v>240.51</v>
      </c>
      <c r="F35">
        <v>16.1067</v>
      </c>
      <c r="G35">
        <v>25.5319</v>
      </c>
      <c r="H35">
        <f t="shared" si="4"/>
        <v>6.6968941000374205E-2</v>
      </c>
      <c r="I35">
        <f t="shared" si="5"/>
        <v>0.10615733233545384</v>
      </c>
    </row>
    <row r="36" spans="1:9" x14ac:dyDescent="0.55000000000000004">
      <c r="A36">
        <v>50</v>
      </c>
      <c r="B36">
        <v>128</v>
      </c>
      <c r="C36">
        <v>512</v>
      </c>
      <c r="D36">
        <v>2</v>
      </c>
      <c r="E36">
        <v>244.27</v>
      </c>
      <c r="F36">
        <v>16.119</v>
      </c>
      <c r="G36">
        <v>23.882999999999999</v>
      </c>
      <c r="H36">
        <f t="shared" si="4"/>
        <v>6.598845539771564E-2</v>
      </c>
      <c r="I36">
        <f t="shared" si="5"/>
        <v>9.7772956155074295E-2</v>
      </c>
    </row>
    <row r="37" spans="1:9" x14ac:dyDescent="0.55000000000000004">
      <c r="A37">
        <v>200</v>
      </c>
      <c r="B37">
        <v>64</v>
      </c>
      <c r="C37">
        <v>512</v>
      </c>
      <c r="D37">
        <v>2</v>
      </c>
      <c r="E37">
        <v>245.16</v>
      </c>
      <c r="F37">
        <v>16.070900000000002</v>
      </c>
      <c r="G37">
        <v>25.1904</v>
      </c>
      <c r="H37">
        <f t="shared" si="4"/>
        <v>6.5552700277369882E-2</v>
      </c>
      <c r="I37">
        <f t="shared" si="5"/>
        <v>0.1027508565834557</v>
      </c>
    </row>
    <row r="38" spans="1:9" x14ac:dyDescent="0.55000000000000004">
      <c r="A38">
        <v>200</v>
      </c>
      <c r="B38">
        <v>64</v>
      </c>
      <c r="C38">
        <v>512</v>
      </c>
      <c r="D38">
        <v>4</v>
      </c>
      <c r="E38">
        <v>245.23</v>
      </c>
      <c r="F38">
        <v>16.070900000000002</v>
      </c>
      <c r="G38">
        <v>25.1904</v>
      </c>
      <c r="H38">
        <f t="shared" si="4"/>
        <v>6.5533988500591292E-2</v>
      </c>
      <c r="I38">
        <f t="shared" si="5"/>
        <v>0.10272152673000857</v>
      </c>
    </row>
    <row r="39" spans="1:9" x14ac:dyDescent="0.55000000000000004">
      <c r="A39">
        <v>100</v>
      </c>
      <c r="B39">
        <v>64</v>
      </c>
      <c r="C39">
        <v>512</v>
      </c>
      <c r="D39">
        <v>2</v>
      </c>
      <c r="E39">
        <v>245.98</v>
      </c>
      <c r="F39">
        <v>15.655900000000001</v>
      </c>
      <c r="G39">
        <v>22.788900000000002</v>
      </c>
      <c r="H39">
        <f t="shared" si="4"/>
        <v>6.3647044475160591E-2</v>
      </c>
      <c r="I39">
        <f t="shared" si="5"/>
        <v>9.2645337019269872E-2</v>
      </c>
    </row>
    <row r="40" spans="1:9" x14ac:dyDescent="0.55000000000000004">
      <c r="A40">
        <v>200</v>
      </c>
      <c r="B40">
        <v>64</v>
      </c>
      <c r="C40">
        <v>512</v>
      </c>
      <c r="D40">
        <v>5</v>
      </c>
      <c r="E40">
        <v>246.04</v>
      </c>
      <c r="F40">
        <v>16.1067</v>
      </c>
      <c r="G40">
        <v>25.5319</v>
      </c>
      <c r="H40">
        <f t="shared" si="4"/>
        <v>6.5463745732401241E-2</v>
      </c>
      <c r="I40">
        <f t="shared" si="5"/>
        <v>0.10377133799382214</v>
      </c>
    </row>
    <row r="41" spans="1:9" x14ac:dyDescent="0.55000000000000004">
      <c r="A41">
        <v>100</v>
      </c>
      <c r="B41">
        <v>128</v>
      </c>
      <c r="C41">
        <v>256</v>
      </c>
      <c r="D41">
        <v>3</v>
      </c>
      <c r="E41">
        <v>247.25</v>
      </c>
      <c r="F41">
        <v>19.296399999999998</v>
      </c>
      <c r="G41">
        <v>28.578800000000001</v>
      </c>
      <c r="H41">
        <f t="shared" si="4"/>
        <v>7.8044084934277044E-2</v>
      </c>
      <c r="I41">
        <f t="shared" si="5"/>
        <v>0.11558665318503539</v>
      </c>
    </row>
    <row r="42" spans="1:9" x14ac:dyDescent="0.55000000000000004">
      <c r="A42">
        <v>100</v>
      </c>
      <c r="B42">
        <v>64</v>
      </c>
      <c r="C42">
        <v>1024</v>
      </c>
      <c r="D42">
        <v>1</v>
      </c>
      <c r="E42">
        <v>249.13</v>
      </c>
      <c r="F42">
        <v>15.7845</v>
      </c>
      <c r="G42">
        <v>24.95</v>
      </c>
      <c r="H42">
        <f t="shared" si="4"/>
        <v>6.335848753662747E-2</v>
      </c>
      <c r="I42">
        <f t="shared" si="5"/>
        <v>0.10014851683859832</v>
      </c>
    </row>
    <row r="43" spans="1:9" x14ac:dyDescent="0.55000000000000004">
      <c r="A43">
        <v>200</v>
      </c>
      <c r="B43">
        <v>64</v>
      </c>
      <c r="C43">
        <v>256</v>
      </c>
      <c r="D43">
        <v>4</v>
      </c>
      <c r="E43">
        <v>259.2</v>
      </c>
      <c r="F43">
        <v>18.849399999999999</v>
      </c>
      <c r="G43">
        <v>42.858899999999998</v>
      </c>
      <c r="H43">
        <f t="shared" si="4"/>
        <v>7.2721450617283953E-2</v>
      </c>
      <c r="I43">
        <f t="shared" si="5"/>
        <v>0.16535069444444445</v>
      </c>
    </row>
    <row r="44" spans="1:9" x14ac:dyDescent="0.55000000000000004">
      <c r="A44">
        <v>50</v>
      </c>
      <c r="B44">
        <v>128</v>
      </c>
      <c r="C44">
        <v>1024</v>
      </c>
      <c r="D44">
        <v>2</v>
      </c>
      <c r="E44">
        <v>259.7</v>
      </c>
      <c r="F44">
        <v>17.351199999999999</v>
      </c>
      <c r="G44">
        <v>26.849599999999999</v>
      </c>
      <c r="H44">
        <f t="shared" si="4"/>
        <v>6.6812475933769738E-2</v>
      </c>
      <c r="I44">
        <f t="shared" si="5"/>
        <v>0.10338698498267232</v>
      </c>
    </row>
    <row r="45" spans="1:9" x14ac:dyDescent="0.55000000000000004">
      <c r="A45">
        <v>100</v>
      </c>
      <c r="B45">
        <v>64</v>
      </c>
      <c r="C45">
        <v>512</v>
      </c>
      <c r="D45">
        <v>3</v>
      </c>
      <c r="E45">
        <v>264.29000000000002</v>
      </c>
      <c r="F45">
        <v>17.147500000000001</v>
      </c>
      <c r="G45">
        <v>43.635800000000003</v>
      </c>
      <c r="H45">
        <f t="shared" si="4"/>
        <v>6.4881380301941044E-2</v>
      </c>
      <c r="I45">
        <f t="shared" si="5"/>
        <v>0.16510575504181013</v>
      </c>
    </row>
    <row r="46" spans="1:9" x14ac:dyDescent="0.55000000000000004">
      <c r="A46">
        <v>200</v>
      </c>
      <c r="B46">
        <v>128</v>
      </c>
      <c r="C46">
        <v>256</v>
      </c>
      <c r="D46">
        <v>1</v>
      </c>
      <c r="E46">
        <v>271.52999999999997</v>
      </c>
      <c r="F46">
        <v>18.741199999999999</v>
      </c>
      <c r="G46">
        <v>39.387599999999999</v>
      </c>
      <c r="H46">
        <f t="shared" si="4"/>
        <v>6.9020734357161273E-2</v>
      </c>
      <c r="I46">
        <f t="shared" si="5"/>
        <v>0.14505800464037125</v>
      </c>
    </row>
    <row r="47" spans="1:9" x14ac:dyDescent="0.55000000000000004">
      <c r="A47">
        <v>200</v>
      </c>
      <c r="B47">
        <v>128</v>
      </c>
      <c r="C47">
        <v>256</v>
      </c>
      <c r="D47">
        <v>5</v>
      </c>
      <c r="E47">
        <v>274.20999999999998</v>
      </c>
      <c r="F47">
        <v>18.741199999999999</v>
      </c>
      <c r="G47">
        <v>39.387599999999999</v>
      </c>
      <c r="H47">
        <f t="shared" si="4"/>
        <v>6.8346158054046174E-2</v>
      </c>
      <c r="I47">
        <f t="shared" si="5"/>
        <v>0.14364027570110499</v>
      </c>
    </row>
    <row r="48" spans="1:9" x14ac:dyDescent="0.55000000000000004">
      <c r="A48">
        <v>50</v>
      </c>
      <c r="B48">
        <v>128</v>
      </c>
      <c r="C48">
        <v>1024</v>
      </c>
      <c r="D48">
        <v>3</v>
      </c>
      <c r="E48">
        <v>274.86</v>
      </c>
      <c r="F48">
        <v>16.885300000000001</v>
      </c>
      <c r="G48">
        <v>46.482500000000002</v>
      </c>
      <c r="H48">
        <f t="shared" si="4"/>
        <v>6.1432365567925487E-2</v>
      </c>
      <c r="I48">
        <f t="shared" si="5"/>
        <v>0.16911336680491887</v>
      </c>
    </row>
    <row r="49" spans="1:9" x14ac:dyDescent="0.55000000000000004">
      <c r="A49">
        <v>50</v>
      </c>
      <c r="B49">
        <v>128</v>
      </c>
      <c r="C49">
        <v>512</v>
      </c>
      <c r="D49">
        <v>3</v>
      </c>
      <c r="E49">
        <v>275.22000000000003</v>
      </c>
      <c r="F49">
        <v>18.506900000000002</v>
      </c>
      <c r="G49">
        <v>26.331800000000001</v>
      </c>
      <c r="H49">
        <f t="shared" si="4"/>
        <v>6.724402296344742E-2</v>
      </c>
      <c r="I49">
        <f t="shared" si="5"/>
        <v>9.5675459632294166E-2</v>
      </c>
    </row>
    <row r="50" spans="1:9" x14ac:dyDescent="0.55000000000000004">
      <c r="A50">
        <v>100</v>
      </c>
      <c r="B50">
        <v>64</v>
      </c>
      <c r="C50">
        <v>1024</v>
      </c>
      <c r="D50">
        <v>2</v>
      </c>
      <c r="E50">
        <v>277</v>
      </c>
      <c r="F50">
        <v>17.299299999999999</v>
      </c>
      <c r="G50">
        <v>38.8855</v>
      </c>
      <c r="H50">
        <f t="shared" si="4"/>
        <v>6.245234657039711E-2</v>
      </c>
      <c r="I50">
        <f t="shared" si="5"/>
        <v>0.14038086642599279</v>
      </c>
    </row>
    <row r="51" spans="1:9" x14ac:dyDescent="0.55000000000000004">
      <c r="A51">
        <v>200</v>
      </c>
      <c r="B51">
        <v>128</v>
      </c>
      <c r="C51">
        <v>256</v>
      </c>
      <c r="D51">
        <v>3</v>
      </c>
      <c r="E51">
        <v>277.54000000000002</v>
      </c>
      <c r="F51">
        <v>18.741199999999999</v>
      </c>
      <c r="G51">
        <v>39.387599999999999</v>
      </c>
      <c r="H51">
        <f t="shared" si="4"/>
        <v>6.7526122360740792E-2</v>
      </c>
      <c r="I51">
        <f t="shared" si="5"/>
        <v>0.14191684081573827</v>
      </c>
    </row>
    <row r="52" spans="1:9" x14ac:dyDescent="0.55000000000000004">
      <c r="A52">
        <v>200</v>
      </c>
      <c r="B52">
        <v>128</v>
      </c>
      <c r="C52">
        <v>256</v>
      </c>
      <c r="D52">
        <v>2</v>
      </c>
      <c r="E52">
        <v>277.85000000000002</v>
      </c>
      <c r="F52">
        <v>18.702500000000001</v>
      </c>
      <c r="G52">
        <v>34.3842</v>
      </c>
      <c r="H52">
        <f t="shared" si="4"/>
        <v>6.7311499010257334E-2</v>
      </c>
      <c r="I52">
        <f t="shared" si="5"/>
        <v>0.12375094475436385</v>
      </c>
    </row>
    <row r="53" spans="1:9" x14ac:dyDescent="0.55000000000000004">
      <c r="A53">
        <v>200</v>
      </c>
      <c r="B53">
        <v>128</v>
      </c>
      <c r="C53">
        <v>256</v>
      </c>
      <c r="D53">
        <v>4</v>
      </c>
      <c r="E53">
        <v>278.08</v>
      </c>
      <c r="F53">
        <v>18.702500000000001</v>
      </c>
      <c r="G53">
        <v>34.834200000000003</v>
      </c>
      <c r="H53">
        <f t="shared" si="4"/>
        <v>6.7255825661680105E-2</v>
      </c>
      <c r="I53">
        <f t="shared" si="5"/>
        <v>0.12526682968929806</v>
      </c>
    </row>
    <row r="54" spans="1:9" x14ac:dyDescent="0.55000000000000004">
      <c r="A54">
        <v>50</v>
      </c>
      <c r="B54">
        <v>128</v>
      </c>
      <c r="C54">
        <v>256</v>
      </c>
      <c r="D54">
        <v>5</v>
      </c>
      <c r="E54">
        <v>278.99</v>
      </c>
      <c r="F54">
        <v>18.9925</v>
      </c>
      <c r="G54">
        <v>46.090699999999998</v>
      </c>
      <c r="H54">
        <f t="shared" si="4"/>
        <v>6.8075916699523273E-2</v>
      </c>
      <c r="I54">
        <f t="shared" si="5"/>
        <v>0.16520556292340227</v>
      </c>
    </row>
    <row r="55" spans="1:9" x14ac:dyDescent="0.55000000000000004">
      <c r="A55">
        <v>200</v>
      </c>
      <c r="B55">
        <v>64</v>
      </c>
      <c r="C55">
        <v>256</v>
      </c>
      <c r="D55">
        <v>5</v>
      </c>
      <c r="E55">
        <v>289.26</v>
      </c>
      <c r="F55">
        <v>18.834099999999999</v>
      </c>
      <c r="G55">
        <v>41.235500000000002</v>
      </c>
      <c r="H55">
        <f t="shared" si="4"/>
        <v>6.511131853695637E-2</v>
      </c>
      <c r="I55">
        <f t="shared" si="5"/>
        <v>0.14255514070386505</v>
      </c>
    </row>
    <row r="56" spans="1:9" x14ac:dyDescent="0.55000000000000004">
      <c r="A56">
        <v>100</v>
      </c>
      <c r="B56">
        <v>128</v>
      </c>
      <c r="C56">
        <v>256</v>
      </c>
      <c r="D56">
        <v>4</v>
      </c>
      <c r="E56">
        <v>289.99</v>
      </c>
      <c r="F56">
        <v>18.503399999999999</v>
      </c>
      <c r="G56">
        <v>38.825200000000002</v>
      </c>
      <c r="H56">
        <f t="shared" si="4"/>
        <v>6.3807027828545804E-2</v>
      </c>
      <c r="I56">
        <f t="shared" si="5"/>
        <v>0.13388461671092108</v>
      </c>
    </row>
    <row r="57" spans="1:9" x14ac:dyDescent="0.55000000000000004">
      <c r="A57">
        <v>100</v>
      </c>
      <c r="B57">
        <v>64</v>
      </c>
      <c r="C57">
        <v>1024</v>
      </c>
      <c r="D57">
        <v>3</v>
      </c>
      <c r="E57">
        <v>290.43</v>
      </c>
      <c r="F57">
        <v>17.253499999999999</v>
      </c>
      <c r="G57">
        <v>28.240500000000001</v>
      </c>
      <c r="H57">
        <f t="shared" si="4"/>
        <v>5.9406741727782937E-2</v>
      </c>
      <c r="I57">
        <f t="shared" si="5"/>
        <v>9.7236855696725549E-2</v>
      </c>
    </row>
    <row r="58" spans="1:9" x14ac:dyDescent="0.55000000000000004">
      <c r="A58">
        <v>100</v>
      </c>
      <c r="B58">
        <v>64</v>
      </c>
      <c r="C58">
        <v>512</v>
      </c>
      <c r="D58">
        <v>4</v>
      </c>
      <c r="E58">
        <v>300.33</v>
      </c>
      <c r="F58">
        <v>16.559000000000001</v>
      </c>
      <c r="G58">
        <v>28.9938</v>
      </c>
      <c r="H58">
        <f t="shared" si="4"/>
        <v>5.5136017047913967E-2</v>
      </c>
      <c r="I58">
        <f t="shared" si="5"/>
        <v>9.6539806213165519E-2</v>
      </c>
    </row>
    <row r="59" spans="1:9" x14ac:dyDescent="0.55000000000000004">
      <c r="A59">
        <v>50</v>
      </c>
      <c r="B59">
        <v>128</v>
      </c>
      <c r="C59">
        <v>512</v>
      </c>
      <c r="D59">
        <v>4</v>
      </c>
      <c r="E59">
        <v>313.08</v>
      </c>
      <c r="F59">
        <v>17.071300000000001</v>
      </c>
      <c r="G59">
        <v>41.583500000000001</v>
      </c>
      <c r="H59">
        <f t="shared" si="4"/>
        <v>5.4526957966015081E-2</v>
      </c>
      <c r="I59">
        <f t="shared" si="5"/>
        <v>0.1328206848089945</v>
      </c>
    </row>
    <row r="60" spans="1:9" x14ac:dyDescent="0.55000000000000004">
      <c r="A60">
        <v>50</v>
      </c>
      <c r="B60">
        <v>128</v>
      </c>
      <c r="C60">
        <v>1024</v>
      </c>
      <c r="D60">
        <v>4</v>
      </c>
      <c r="E60">
        <v>320.49</v>
      </c>
      <c r="F60">
        <v>17.27</v>
      </c>
      <c r="G60">
        <v>25.7378</v>
      </c>
      <c r="H60">
        <f t="shared" si="4"/>
        <v>5.388623670005304E-2</v>
      </c>
      <c r="I60">
        <f t="shared" si="5"/>
        <v>8.0307653904958032E-2</v>
      </c>
    </row>
    <row r="61" spans="1:9" x14ac:dyDescent="0.55000000000000004">
      <c r="A61">
        <v>100</v>
      </c>
      <c r="B61">
        <v>64</v>
      </c>
      <c r="C61">
        <v>1024</v>
      </c>
      <c r="D61">
        <v>4</v>
      </c>
      <c r="E61">
        <v>324.04000000000002</v>
      </c>
      <c r="F61">
        <v>16.517900000000001</v>
      </c>
      <c r="G61">
        <v>28.369199999999999</v>
      </c>
      <c r="H61">
        <f t="shared" si="4"/>
        <v>5.0974879644488331E-2</v>
      </c>
      <c r="I61">
        <f t="shared" si="5"/>
        <v>8.754845080854215E-2</v>
      </c>
    </row>
    <row r="62" spans="1:9" x14ac:dyDescent="0.55000000000000004">
      <c r="A62">
        <v>100</v>
      </c>
      <c r="B62">
        <v>64</v>
      </c>
      <c r="C62">
        <v>512</v>
      </c>
      <c r="D62">
        <v>5</v>
      </c>
      <c r="E62">
        <v>325.82</v>
      </c>
      <c r="F62">
        <v>16.5792</v>
      </c>
      <c r="G62">
        <v>29.310700000000001</v>
      </c>
      <c r="H62">
        <f t="shared" si="4"/>
        <v>5.0884537474679276E-2</v>
      </c>
      <c r="I62">
        <f t="shared" si="5"/>
        <v>8.9959793751150943E-2</v>
      </c>
    </row>
    <row r="63" spans="1:9" x14ac:dyDescent="0.55000000000000004">
      <c r="A63">
        <v>100</v>
      </c>
      <c r="B63">
        <v>128</v>
      </c>
      <c r="C63">
        <v>256</v>
      </c>
      <c r="D63">
        <v>5</v>
      </c>
      <c r="E63">
        <v>331.83</v>
      </c>
      <c r="F63">
        <v>18.522300000000001</v>
      </c>
      <c r="G63">
        <v>45.912300000000002</v>
      </c>
      <c r="H63">
        <f t="shared" si="4"/>
        <v>5.581864207576169E-2</v>
      </c>
      <c r="I63">
        <f t="shared" si="5"/>
        <v>0.1383609076936986</v>
      </c>
    </row>
    <row r="64" spans="1:9" x14ac:dyDescent="0.55000000000000004">
      <c r="A64">
        <v>50</v>
      </c>
      <c r="B64">
        <v>128</v>
      </c>
      <c r="C64">
        <v>512</v>
      </c>
      <c r="D64">
        <v>5</v>
      </c>
      <c r="E64">
        <v>350.84</v>
      </c>
      <c r="F64">
        <v>17.087</v>
      </c>
      <c r="G64">
        <v>46.834299999999999</v>
      </c>
      <c r="H64">
        <f t="shared" si="4"/>
        <v>4.8703112529928178E-2</v>
      </c>
      <c r="I64">
        <f t="shared" si="5"/>
        <v>0.13349190514194506</v>
      </c>
    </row>
    <row r="65" spans="1:9" x14ac:dyDescent="0.55000000000000004">
      <c r="A65">
        <v>100</v>
      </c>
      <c r="B65">
        <v>64</v>
      </c>
      <c r="C65">
        <v>1024</v>
      </c>
      <c r="D65">
        <v>5</v>
      </c>
      <c r="E65">
        <v>352.23</v>
      </c>
      <c r="F65">
        <v>17.1646</v>
      </c>
      <c r="G65">
        <v>25.1693</v>
      </c>
      <c r="H65">
        <f t="shared" si="4"/>
        <v>4.8731226755245147E-2</v>
      </c>
      <c r="I65">
        <f t="shared" si="5"/>
        <v>7.1457002526758073E-2</v>
      </c>
    </row>
    <row r="66" spans="1:9" x14ac:dyDescent="0.55000000000000004">
      <c r="A66">
        <v>50</v>
      </c>
      <c r="B66">
        <v>128</v>
      </c>
      <c r="C66">
        <v>1024</v>
      </c>
      <c r="D66">
        <v>5</v>
      </c>
      <c r="E66">
        <v>361.15</v>
      </c>
      <c r="F66">
        <v>17.110600000000002</v>
      </c>
      <c r="G66">
        <v>29.9968</v>
      </c>
      <c r="H66">
        <f t="shared" ref="H66:H91" si="6">F66/E66</f>
        <v>4.7378097743319955E-2</v>
      </c>
      <c r="I66">
        <f t="shared" ref="I66:I91" si="7">G66/E66</f>
        <v>8.3059116710508099E-2</v>
      </c>
    </row>
    <row r="67" spans="1:9" x14ac:dyDescent="0.55000000000000004">
      <c r="A67">
        <v>100</v>
      </c>
      <c r="B67">
        <v>128</v>
      </c>
      <c r="C67">
        <v>512</v>
      </c>
      <c r="D67">
        <v>1</v>
      </c>
      <c r="E67">
        <v>365.19</v>
      </c>
      <c r="F67">
        <v>18.628</v>
      </c>
      <c r="G67">
        <v>24.081199999999999</v>
      </c>
      <c r="H67">
        <f t="shared" si="6"/>
        <v>5.1009063775021221E-2</v>
      </c>
      <c r="I67">
        <f t="shared" si="7"/>
        <v>6.5941564664968921E-2</v>
      </c>
    </row>
    <row r="68" spans="1:9" x14ac:dyDescent="0.55000000000000004">
      <c r="A68">
        <v>100</v>
      </c>
      <c r="B68">
        <v>128</v>
      </c>
      <c r="C68">
        <v>512</v>
      </c>
      <c r="D68">
        <v>2</v>
      </c>
      <c r="E68">
        <v>413.56</v>
      </c>
      <c r="F68">
        <v>16.1327</v>
      </c>
      <c r="G68">
        <v>24.1584</v>
      </c>
      <c r="H68">
        <f t="shared" si="6"/>
        <v>3.9009333591256405E-2</v>
      </c>
      <c r="I68">
        <f t="shared" si="7"/>
        <v>5.8415707515233582E-2</v>
      </c>
    </row>
    <row r="69" spans="1:9" x14ac:dyDescent="0.55000000000000004">
      <c r="A69">
        <v>200</v>
      </c>
      <c r="B69">
        <v>64</v>
      </c>
      <c r="C69">
        <v>1024</v>
      </c>
      <c r="D69">
        <v>4</v>
      </c>
      <c r="E69">
        <v>418.46</v>
      </c>
      <c r="F69">
        <v>17.2364</v>
      </c>
      <c r="G69">
        <v>28.122</v>
      </c>
      <c r="H69">
        <f t="shared" si="6"/>
        <v>4.1190077904698183E-2</v>
      </c>
      <c r="I69">
        <f t="shared" si="7"/>
        <v>6.7203555895426093E-2</v>
      </c>
    </row>
    <row r="70" spans="1:9" x14ac:dyDescent="0.55000000000000004">
      <c r="A70">
        <v>200</v>
      </c>
      <c r="B70">
        <v>64</v>
      </c>
      <c r="C70">
        <v>1024</v>
      </c>
      <c r="D70">
        <v>1</v>
      </c>
      <c r="E70">
        <v>418.75</v>
      </c>
      <c r="F70">
        <v>17.272300000000001</v>
      </c>
      <c r="G70">
        <v>28.502199999999998</v>
      </c>
      <c r="H70">
        <f t="shared" si="6"/>
        <v>4.1247283582089553E-2</v>
      </c>
      <c r="I70">
        <f t="shared" si="7"/>
        <v>6.8064955223880591E-2</v>
      </c>
    </row>
    <row r="71" spans="1:9" x14ac:dyDescent="0.55000000000000004">
      <c r="A71">
        <v>200</v>
      </c>
      <c r="B71">
        <v>64</v>
      </c>
      <c r="C71">
        <v>1024</v>
      </c>
      <c r="D71">
        <v>5</v>
      </c>
      <c r="E71">
        <v>425.89</v>
      </c>
      <c r="F71">
        <v>17.272300000000001</v>
      </c>
      <c r="G71">
        <v>28.502199999999998</v>
      </c>
      <c r="H71">
        <f t="shared" si="6"/>
        <v>4.0555777313390787E-2</v>
      </c>
      <c r="I71">
        <f t="shared" si="7"/>
        <v>6.6923853577214767E-2</v>
      </c>
    </row>
    <row r="72" spans="1:9" x14ac:dyDescent="0.55000000000000004">
      <c r="A72">
        <v>200</v>
      </c>
      <c r="B72">
        <v>64</v>
      </c>
      <c r="C72">
        <v>1024</v>
      </c>
      <c r="D72">
        <v>3</v>
      </c>
      <c r="E72">
        <v>426.54</v>
      </c>
      <c r="F72">
        <v>17.272300000000001</v>
      </c>
      <c r="G72">
        <v>28.502199999999998</v>
      </c>
      <c r="H72">
        <f t="shared" si="6"/>
        <v>4.049397477376096E-2</v>
      </c>
      <c r="I72">
        <f t="shared" si="7"/>
        <v>6.6821868992357106E-2</v>
      </c>
    </row>
    <row r="73" spans="1:9" x14ac:dyDescent="0.55000000000000004">
      <c r="A73">
        <v>100</v>
      </c>
      <c r="B73">
        <v>128</v>
      </c>
      <c r="C73">
        <v>1024</v>
      </c>
      <c r="D73">
        <v>1</v>
      </c>
      <c r="E73">
        <v>426.69</v>
      </c>
      <c r="F73">
        <v>15.204800000000001</v>
      </c>
      <c r="G73">
        <v>23.4528</v>
      </c>
      <c r="H73">
        <f t="shared" si="6"/>
        <v>3.5634301249150437E-2</v>
      </c>
      <c r="I73">
        <f t="shared" si="7"/>
        <v>5.4964494129227305E-2</v>
      </c>
    </row>
    <row r="74" spans="1:9" x14ac:dyDescent="0.55000000000000004">
      <c r="A74">
        <v>200</v>
      </c>
      <c r="B74">
        <v>64</v>
      </c>
      <c r="C74">
        <v>1024</v>
      </c>
      <c r="D74">
        <v>2</v>
      </c>
      <c r="E74">
        <v>429.83</v>
      </c>
      <c r="F74">
        <v>17.2364</v>
      </c>
      <c r="G74">
        <v>28.122</v>
      </c>
      <c r="H74">
        <f t="shared" si="6"/>
        <v>4.0100504850754948E-2</v>
      </c>
      <c r="I74">
        <f t="shared" si="7"/>
        <v>6.5425866040062355E-2</v>
      </c>
    </row>
    <row r="75" spans="1:9" x14ac:dyDescent="0.55000000000000004">
      <c r="A75">
        <v>100</v>
      </c>
      <c r="B75">
        <v>128</v>
      </c>
      <c r="C75">
        <v>512</v>
      </c>
      <c r="D75">
        <v>3</v>
      </c>
      <c r="E75">
        <v>442.6</v>
      </c>
      <c r="F75">
        <v>17.195900000000002</v>
      </c>
      <c r="G75">
        <v>36.895899999999997</v>
      </c>
      <c r="H75">
        <f t="shared" si="6"/>
        <v>3.8852010845006779E-2</v>
      </c>
      <c r="I75">
        <f t="shared" si="7"/>
        <v>8.3361726163578842E-2</v>
      </c>
    </row>
    <row r="76" spans="1:9" x14ac:dyDescent="0.55000000000000004">
      <c r="A76">
        <v>100</v>
      </c>
      <c r="B76">
        <v>128</v>
      </c>
      <c r="C76">
        <v>1024</v>
      </c>
      <c r="D76">
        <v>2</v>
      </c>
      <c r="E76">
        <v>467.4</v>
      </c>
      <c r="F76">
        <v>16.428899999999999</v>
      </c>
      <c r="G76">
        <v>27.965299999999999</v>
      </c>
      <c r="H76">
        <f t="shared" si="6"/>
        <v>3.5149550706033372E-2</v>
      </c>
      <c r="I76">
        <f t="shared" si="7"/>
        <v>5.9831621737270003E-2</v>
      </c>
    </row>
    <row r="77" spans="1:9" x14ac:dyDescent="0.55000000000000004">
      <c r="A77">
        <v>100</v>
      </c>
      <c r="B77">
        <v>128</v>
      </c>
      <c r="C77">
        <v>512</v>
      </c>
      <c r="D77">
        <v>4</v>
      </c>
      <c r="E77">
        <v>476.35</v>
      </c>
      <c r="F77">
        <v>17.195599999999999</v>
      </c>
      <c r="G77">
        <v>36.613900000000001</v>
      </c>
      <c r="H77">
        <f t="shared" si="6"/>
        <v>3.6098666946572891E-2</v>
      </c>
      <c r="I77">
        <f t="shared" si="7"/>
        <v>7.6863440747349632E-2</v>
      </c>
    </row>
    <row r="78" spans="1:9" x14ac:dyDescent="0.55000000000000004">
      <c r="A78">
        <v>100</v>
      </c>
      <c r="B78">
        <v>128</v>
      </c>
      <c r="C78">
        <v>1024</v>
      </c>
      <c r="D78">
        <v>3</v>
      </c>
      <c r="E78">
        <v>506.26</v>
      </c>
      <c r="F78">
        <v>17.369499999999999</v>
      </c>
      <c r="G78">
        <v>46.060099999999998</v>
      </c>
      <c r="H78">
        <f t="shared" si="6"/>
        <v>3.4309445739343421E-2</v>
      </c>
      <c r="I78">
        <f t="shared" si="7"/>
        <v>9.098111642239165E-2</v>
      </c>
    </row>
    <row r="79" spans="1:9" x14ac:dyDescent="0.55000000000000004">
      <c r="A79">
        <v>100</v>
      </c>
      <c r="B79">
        <v>128</v>
      </c>
      <c r="C79">
        <v>512</v>
      </c>
      <c r="D79">
        <v>5</v>
      </c>
      <c r="E79">
        <v>517.04999999999995</v>
      </c>
      <c r="F79">
        <v>17.184799999999999</v>
      </c>
      <c r="G79">
        <v>37.342399999999998</v>
      </c>
      <c r="H79">
        <f t="shared" si="6"/>
        <v>3.3236244076975147E-2</v>
      </c>
      <c r="I79">
        <f t="shared" si="7"/>
        <v>7.2222028817329087E-2</v>
      </c>
    </row>
    <row r="80" spans="1:9" x14ac:dyDescent="0.55000000000000004">
      <c r="A80">
        <v>100</v>
      </c>
      <c r="B80">
        <v>128</v>
      </c>
      <c r="C80">
        <v>1024</v>
      </c>
      <c r="D80">
        <v>4</v>
      </c>
      <c r="E80">
        <v>539.29</v>
      </c>
      <c r="F80">
        <v>15.7577</v>
      </c>
      <c r="G80">
        <v>24.953800000000001</v>
      </c>
      <c r="H80">
        <f t="shared" si="6"/>
        <v>2.9219343952233495E-2</v>
      </c>
      <c r="I80">
        <f t="shared" si="7"/>
        <v>4.6271579298707566E-2</v>
      </c>
    </row>
    <row r="81" spans="1:9" x14ac:dyDescent="0.55000000000000004">
      <c r="A81">
        <v>100</v>
      </c>
      <c r="B81">
        <v>128</v>
      </c>
      <c r="C81">
        <v>1024</v>
      </c>
      <c r="D81">
        <v>5</v>
      </c>
      <c r="E81">
        <v>579.36</v>
      </c>
      <c r="F81">
        <v>17.1204</v>
      </c>
      <c r="G81">
        <v>30.316400000000002</v>
      </c>
      <c r="H81">
        <f t="shared" si="6"/>
        <v>2.9550538525269263E-2</v>
      </c>
      <c r="I81">
        <f t="shared" si="7"/>
        <v>5.2327395747031206E-2</v>
      </c>
    </row>
    <row r="82" spans="1:9" x14ac:dyDescent="0.55000000000000004">
      <c r="A82">
        <v>200</v>
      </c>
      <c r="B82">
        <v>128</v>
      </c>
      <c r="C82">
        <v>512</v>
      </c>
      <c r="D82">
        <v>1</v>
      </c>
      <c r="E82">
        <v>689.69</v>
      </c>
      <c r="F82">
        <v>16.1067</v>
      </c>
      <c r="G82">
        <v>25.5319</v>
      </c>
      <c r="H82">
        <f t="shared" si="6"/>
        <v>2.3353535646449854E-2</v>
      </c>
      <c r="I82">
        <f t="shared" si="7"/>
        <v>3.7019385521031185E-2</v>
      </c>
    </row>
    <row r="83" spans="1:9" x14ac:dyDescent="0.55000000000000004">
      <c r="A83">
        <v>200</v>
      </c>
      <c r="B83">
        <v>128</v>
      </c>
      <c r="C83">
        <v>512</v>
      </c>
      <c r="D83">
        <v>5</v>
      </c>
      <c r="E83">
        <v>691.45</v>
      </c>
      <c r="F83">
        <v>16.1067</v>
      </c>
      <c r="G83">
        <v>25.5319</v>
      </c>
      <c r="H83">
        <f t="shared" si="6"/>
        <v>2.329409212524405E-2</v>
      </c>
      <c r="I83">
        <f t="shared" si="7"/>
        <v>3.6925157278183525E-2</v>
      </c>
    </row>
    <row r="84" spans="1:9" x14ac:dyDescent="0.55000000000000004">
      <c r="A84">
        <v>200</v>
      </c>
      <c r="B84">
        <v>128</v>
      </c>
      <c r="C84">
        <v>512</v>
      </c>
      <c r="D84">
        <v>3</v>
      </c>
      <c r="E84">
        <v>691.77</v>
      </c>
      <c r="F84">
        <v>16.1067</v>
      </c>
      <c r="G84">
        <v>25.5319</v>
      </c>
      <c r="H84">
        <f t="shared" si="6"/>
        <v>2.32833167093109E-2</v>
      </c>
      <c r="I84">
        <f t="shared" si="7"/>
        <v>3.6908076383769174E-2</v>
      </c>
    </row>
    <row r="85" spans="1:9" x14ac:dyDescent="0.55000000000000004">
      <c r="A85">
        <v>200</v>
      </c>
      <c r="B85">
        <v>128</v>
      </c>
      <c r="C85">
        <v>512</v>
      </c>
      <c r="D85">
        <v>2</v>
      </c>
      <c r="E85">
        <v>697.23</v>
      </c>
      <c r="F85">
        <v>16.070900000000002</v>
      </c>
      <c r="G85">
        <v>25.1904</v>
      </c>
      <c r="H85">
        <f t="shared" si="6"/>
        <v>2.304963928689242E-2</v>
      </c>
      <c r="I85">
        <f t="shared" si="7"/>
        <v>3.61292543350114E-2</v>
      </c>
    </row>
    <row r="86" spans="1:9" x14ac:dyDescent="0.55000000000000004">
      <c r="A86">
        <v>200</v>
      </c>
      <c r="B86">
        <v>128</v>
      </c>
      <c r="C86">
        <v>512</v>
      </c>
      <c r="D86">
        <v>4</v>
      </c>
      <c r="E86">
        <v>700.09</v>
      </c>
      <c r="F86">
        <v>16.070900000000002</v>
      </c>
      <c r="G86">
        <v>25.1904</v>
      </c>
      <c r="H86">
        <f t="shared" si="6"/>
        <v>2.2955477152937481E-2</v>
      </c>
      <c r="I86">
        <f t="shared" si="7"/>
        <v>3.5981659500921311E-2</v>
      </c>
    </row>
    <row r="87" spans="1:9" x14ac:dyDescent="0.55000000000000004">
      <c r="A87">
        <v>200</v>
      </c>
      <c r="B87">
        <v>128</v>
      </c>
      <c r="C87">
        <v>1024</v>
      </c>
      <c r="D87">
        <v>5</v>
      </c>
      <c r="E87">
        <v>856.49</v>
      </c>
      <c r="F87">
        <v>17.272300000000001</v>
      </c>
      <c r="G87">
        <v>28.502199999999998</v>
      </c>
      <c r="H87">
        <f t="shared" si="6"/>
        <v>2.0166376723604482E-2</v>
      </c>
      <c r="I87">
        <f t="shared" si="7"/>
        <v>3.3277913343997011E-2</v>
      </c>
    </row>
    <row r="88" spans="1:9" x14ac:dyDescent="0.55000000000000004">
      <c r="A88">
        <v>200</v>
      </c>
      <c r="B88">
        <v>128</v>
      </c>
      <c r="C88">
        <v>1024</v>
      </c>
      <c r="D88">
        <v>3</v>
      </c>
      <c r="E88">
        <v>861.47</v>
      </c>
      <c r="F88">
        <v>17.272300000000001</v>
      </c>
      <c r="G88">
        <v>28.502199999999998</v>
      </c>
      <c r="H88">
        <f t="shared" si="6"/>
        <v>2.0049798600067326E-2</v>
      </c>
      <c r="I88">
        <f t="shared" si="7"/>
        <v>3.3085539833076015E-2</v>
      </c>
    </row>
    <row r="89" spans="1:9" x14ac:dyDescent="0.55000000000000004">
      <c r="A89">
        <v>200</v>
      </c>
      <c r="B89">
        <v>128</v>
      </c>
      <c r="C89">
        <v>1024</v>
      </c>
      <c r="D89">
        <v>4</v>
      </c>
      <c r="E89">
        <v>865.81</v>
      </c>
      <c r="F89">
        <v>17.2364</v>
      </c>
      <c r="G89">
        <v>28.122</v>
      </c>
      <c r="H89">
        <f t="shared" si="6"/>
        <v>1.9907831972372694E-2</v>
      </c>
      <c r="I89">
        <f t="shared" si="7"/>
        <v>3.248056733001467E-2</v>
      </c>
    </row>
    <row r="90" spans="1:9" x14ac:dyDescent="0.55000000000000004">
      <c r="A90">
        <v>200</v>
      </c>
      <c r="B90">
        <v>128</v>
      </c>
      <c r="C90">
        <v>1024</v>
      </c>
      <c r="D90">
        <v>1</v>
      </c>
      <c r="E90">
        <v>866.53</v>
      </c>
      <c r="F90">
        <v>17.272300000000001</v>
      </c>
      <c r="G90">
        <v>28.502199999999998</v>
      </c>
      <c r="H90">
        <f t="shared" si="6"/>
        <v>1.9932720159717497E-2</v>
      </c>
      <c r="I90">
        <f t="shared" si="7"/>
        <v>3.2892340715266637E-2</v>
      </c>
    </row>
    <row r="91" spans="1:9" x14ac:dyDescent="0.55000000000000004">
      <c r="A91">
        <v>200</v>
      </c>
      <c r="B91">
        <v>128</v>
      </c>
      <c r="C91">
        <v>1024</v>
      </c>
      <c r="D91">
        <v>2</v>
      </c>
      <c r="E91">
        <v>868.71</v>
      </c>
      <c r="F91">
        <v>17.2364</v>
      </c>
      <c r="G91">
        <v>28.122</v>
      </c>
      <c r="H91">
        <f t="shared" si="6"/>
        <v>1.9841373991320462E-2</v>
      </c>
      <c r="I91">
        <f t="shared" si="7"/>
        <v>3.2372137997720755E-2</v>
      </c>
    </row>
    <row r="92" spans="1:9" x14ac:dyDescent="0.55000000000000004">
      <c r="H92">
        <f>MAX(H2:H91)</f>
        <v>0.1961124389483529</v>
      </c>
      <c r="I92">
        <f>MAX(I2:I91)</f>
        <v>0.36193702587550658</v>
      </c>
    </row>
    <row r="93" spans="1:9" x14ac:dyDescent="0.55000000000000004">
      <c r="H93">
        <f>MATCH(H92,H2:H91,0)</f>
        <v>1</v>
      </c>
      <c r="I93">
        <f>MATCH(I92,I2:I91,0)</f>
        <v>1</v>
      </c>
    </row>
  </sheetData>
  <sortState xmlns:xlrd2="http://schemas.microsoft.com/office/spreadsheetml/2017/richdata2" ref="K2:S23">
    <sortCondition ref="M2:M23"/>
  </sortState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6B05-5C16-41B1-8EC9-EFC33079B9FD}">
  <dimension ref="A1:I104"/>
  <sheetViews>
    <sheetView topLeftCell="A64" workbookViewId="0">
      <selection sqref="A1:I93"/>
    </sheetView>
  </sheetViews>
  <sheetFormatPr defaultRowHeight="18" x14ac:dyDescent="0.55000000000000004"/>
  <cols>
    <col min="1" max="1" width="12.25" bestFit="1" customWidth="1"/>
    <col min="2" max="2" width="11.6640625" bestFit="1" customWidth="1"/>
    <col min="3" max="3" width="9.08203125" bestFit="1" customWidth="1"/>
    <col min="4" max="4" width="6.9140625" bestFit="1" customWidth="1"/>
    <col min="5" max="5" width="8.9140625" bestFit="1" customWidth="1"/>
    <col min="6" max="6" width="16" bestFit="1" customWidth="1"/>
    <col min="7" max="7" width="29.83203125" bestFit="1" customWidth="1"/>
    <col min="8" max="8" width="15.9140625" bestFit="1" customWidth="1"/>
    <col min="9" max="9" width="29.75" bestFit="1" customWidth="1"/>
  </cols>
  <sheetData>
    <row r="1" spans="1:9" x14ac:dyDescent="0.55000000000000004">
      <c r="A1" t="s">
        <v>1</v>
      </c>
      <c r="B1" t="s">
        <v>0</v>
      </c>
      <c r="C1" t="s">
        <v>2</v>
      </c>
      <c r="D1" t="s">
        <v>6</v>
      </c>
      <c r="E1" t="s">
        <v>3</v>
      </c>
      <c r="F1" t="s">
        <v>4</v>
      </c>
      <c r="G1" t="s">
        <v>5</v>
      </c>
      <c r="H1" t="s">
        <v>7</v>
      </c>
      <c r="I1" t="s">
        <v>8</v>
      </c>
    </row>
    <row r="2" spans="1:9" x14ac:dyDescent="0.55000000000000004">
      <c r="A2">
        <v>160</v>
      </c>
      <c r="B2">
        <v>128</v>
      </c>
      <c r="C2">
        <v>1024</v>
      </c>
      <c r="D2">
        <v>5</v>
      </c>
      <c r="E2">
        <v>351.93</v>
      </c>
      <c r="F2">
        <v>17.397600000000001</v>
      </c>
      <c r="G2">
        <v>31.7164</v>
      </c>
      <c r="H2">
        <f>F2/E2</f>
        <v>4.9434830790213963E-2</v>
      </c>
      <c r="I2">
        <f>G2/E2</f>
        <v>9.0121330946495035E-2</v>
      </c>
    </row>
    <row r="3" spans="1:9" x14ac:dyDescent="0.55000000000000004">
      <c r="A3">
        <v>160</v>
      </c>
      <c r="B3">
        <v>128</v>
      </c>
      <c r="C3">
        <v>1024</v>
      </c>
      <c r="D3">
        <v>4</v>
      </c>
      <c r="E3">
        <v>309.67</v>
      </c>
      <c r="F3">
        <v>16.075099999999999</v>
      </c>
      <c r="G3">
        <v>23.868400000000001</v>
      </c>
      <c r="H3">
        <f t="shared" ref="H3:H66" si="0">F3/E3</f>
        <v>5.1910420770497623E-2</v>
      </c>
      <c r="I3">
        <f t="shared" ref="I3:I66" si="1">G3/E3</f>
        <v>7.707688830044887E-2</v>
      </c>
    </row>
    <row r="4" spans="1:9" x14ac:dyDescent="0.55000000000000004">
      <c r="A4">
        <v>160</v>
      </c>
      <c r="B4">
        <v>128</v>
      </c>
      <c r="C4">
        <v>1024</v>
      </c>
      <c r="D4">
        <v>3</v>
      </c>
      <c r="E4">
        <v>262.19</v>
      </c>
      <c r="F4">
        <v>17.181799999999999</v>
      </c>
      <c r="G4">
        <v>36.290900000000001</v>
      </c>
      <c r="H4">
        <f t="shared" si="0"/>
        <v>6.5531866203897934E-2</v>
      </c>
      <c r="I4">
        <f t="shared" si="1"/>
        <v>0.13841450856249285</v>
      </c>
    </row>
    <row r="5" spans="1:9" x14ac:dyDescent="0.55000000000000004">
      <c r="A5">
        <v>160</v>
      </c>
      <c r="B5">
        <v>128</v>
      </c>
      <c r="C5">
        <v>1024</v>
      </c>
      <c r="D5">
        <v>2</v>
      </c>
      <c r="E5">
        <v>243.03</v>
      </c>
      <c r="F5">
        <v>16.606400000000001</v>
      </c>
      <c r="G5">
        <v>26.534800000000001</v>
      </c>
      <c r="H5">
        <f t="shared" si="0"/>
        <v>6.833065876640744E-2</v>
      </c>
      <c r="I5">
        <f t="shared" si="1"/>
        <v>0.10918322840801548</v>
      </c>
    </row>
    <row r="6" spans="1:9" x14ac:dyDescent="0.55000000000000004">
      <c r="A6">
        <v>160</v>
      </c>
      <c r="B6">
        <v>128</v>
      </c>
      <c r="C6">
        <v>1024</v>
      </c>
      <c r="D6">
        <v>1</v>
      </c>
      <c r="E6">
        <v>206.59</v>
      </c>
      <c r="F6">
        <v>15.397500000000001</v>
      </c>
      <c r="G6">
        <v>21.971699999999998</v>
      </c>
      <c r="H6">
        <f t="shared" si="0"/>
        <v>7.453168110750763E-2</v>
      </c>
      <c r="I6">
        <f t="shared" si="1"/>
        <v>0.10635413137131515</v>
      </c>
    </row>
    <row r="7" spans="1:9" x14ac:dyDescent="0.55000000000000004">
      <c r="A7">
        <v>160</v>
      </c>
      <c r="B7">
        <v>128</v>
      </c>
      <c r="C7">
        <v>512</v>
      </c>
      <c r="D7">
        <v>5</v>
      </c>
      <c r="E7">
        <v>311.47000000000003</v>
      </c>
      <c r="F7">
        <v>17.930199999999999</v>
      </c>
      <c r="G7">
        <v>30.7379</v>
      </c>
      <c r="H7">
        <f t="shared" si="0"/>
        <v>5.7566378784473619E-2</v>
      </c>
      <c r="I7">
        <f t="shared" si="1"/>
        <v>9.8686550871673023E-2</v>
      </c>
    </row>
    <row r="8" spans="1:9" x14ac:dyDescent="0.55000000000000004">
      <c r="A8">
        <v>160</v>
      </c>
      <c r="B8">
        <v>128</v>
      </c>
      <c r="C8">
        <v>512</v>
      </c>
      <c r="D8">
        <v>4</v>
      </c>
      <c r="E8">
        <v>275.49</v>
      </c>
      <c r="F8">
        <v>17.910399999999999</v>
      </c>
      <c r="G8">
        <v>30.497800000000002</v>
      </c>
      <c r="H8">
        <f t="shared" si="0"/>
        <v>6.5012886130168063E-2</v>
      </c>
      <c r="I8">
        <f t="shared" si="1"/>
        <v>0.11070383679988384</v>
      </c>
    </row>
    <row r="9" spans="1:9" x14ac:dyDescent="0.55000000000000004">
      <c r="A9">
        <v>160</v>
      </c>
      <c r="B9">
        <v>128</v>
      </c>
      <c r="C9">
        <v>512</v>
      </c>
      <c r="D9">
        <v>3</v>
      </c>
      <c r="E9">
        <v>224.68</v>
      </c>
      <c r="F9">
        <v>18.120899999999999</v>
      </c>
      <c r="G9">
        <v>28.107800000000001</v>
      </c>
      <c r="H9">
        <f t="shared" si="0"/>
        <v>8.0652038454691113E-2</v>
      </c>
      <c r="I9">
        <f t="shared" si="1"/>
        <v>0.12510147765711233</v>
      </c>
    </row>
    <row r="10" spans="1:9" x14ac:dyDescent="0.55000000000000004">
      <c r="A10">
        <v>160</v>
      </c>
      <c r="B10">
        <v>128</v>
      </c>
      <c r="C10">
        <v>512</v>
      </c>
      <c r="D10">
        <v>2</v>
      </c>
      <c r="E10">
        <v>206.17</v>
      </c>
      <c r="F10">
        <v>16.346</v>
      </c>
      <c r="G10">
        <v>23.831199999999999</v>
      </c>
      <c r="H10">
        <f t="shared" si="0"/>
        <v>7.9284085948489111E-2</v>
      </c>
      <c r="I10">
        <f t="shared" si="1"/>
        <v>0.11559004704855216</v>
      </c>
    </row>
    <row r="11" spans="1:9" x14ac:dyDescent="0.55000000000000004">
      <c r="A11">
        <v>160</v>
      </c>
      <c r="B11">
        <v>128</v>
      </c>
      <c r="C11">
        <v>512</v>
      </c>
      <c r="D11">
        <v>1</v>
      </c>
      <c r="E11">
        <v>171.7</v>
      </c>
      <c r="F11">
        <v>18.367599999999999</v>
      </c>
      <c r="G11">
        <v>22.2239</v>
      </c>
      <c r="H11">
        <f t="shared" si="0"/>
        <v>0.10697495631916133</v>
      </c>
      <c r="I11">
        <f t="shared" si="1"/>
        <v>0.12943447874199185</v>
      </c>
    </row>
    <row r="12" spans="1:9" x14ac:dyDescent="0.55000000000000004">
      <c r="A12">
        <v>160</v>
      </c>
      <c r="B12">
        <v>128</v>
      </c>
      <c r="C12">
        <v>256</v>
      </c>
      <c r="D12">
        <v>5</v>
      </c>
      <c r="E12">
        <v>225.99</v>
      </c>
      <c r="F12">
        <v>19.055800000000001</v>
      </c>
      <c r="G12">
        <v>36.1676</v>
      </c>
      <c r="H12">
        <f t="shared" si="0"/>
        <v>8.4321430151776636E-2</v>
      </c>
      <c r="I12">
        <f t="shared" si="1"/>
        <v>0.16004070976591883</v>
      </c>
    </row>
    <row r="13" spans="1:9" x14ac:dyDescent="0.55000000000000004">
      <c r="A13">
        <v>160</v>
      </c>
      <c r="B13">
        <v>128</v>
      </c>
      <c r="C13">
        <v>256</v>
      </c>
      <c r="D13">
        <v>4</v>
      </c>
      <c r="E13">
        <v>187.74</v>
      </c>
      <c r="F13">
        <v>18.838799999999999</v>
      </c>
      <c r="G13">
        <v>31.0474</v>
      </c>
      <c r="H13">
        <f t="shared" si="0"/>
        <v>0.10034515819750718</v>
      </c>
      <c r="I13">
        <f t="shared" si="1"/>
        <v>0.16537445403217213</v>
      </c>
    </row>
    <row r="14" spans="1:9" x14ac:dyDescent="0.55000000000000004">
      <c r="A14">
        <v>160</v>
      </c>
      <c r="B14">
        <v>128</v>
      </c>
      <c r="C14">
        <v>256</v>
      </c>
      <c r="D14">
        <v>3</v>
      </c>
      <c r="E14">
        <v>136.84</v>
      </c>
      <c r="F14">
        <v>19.5258</v>
      </c>
      <c r="G14">
        <v>30.761600000000001</v>
      </c>
      <c r="H14">
        <f t="shared" si="0"/>
        <v>0.14269073370359545</v>
      </c>
      <c r="I14">
        <f t="shared" si="1"/>
        <v>0.22479976615024846</v>
      </c>
    </row>
    <row r="15" spans="1:9" x14ac:dyDescent="0.55000000000000004">
      <c r="A15">
        <v>160</v>
      </c>
      <c r="B15">
        <v>128</v>
      </c>
      <c r="C15">
        <v>256</v>
      </c>
      <c r="D15">
        <v>2</v>
      </c>
      <c r="E15">
        <v>119.22</v>
      </c>
      <c r="F15">
        <v>19.009899999999998</v>
      </c>
      <c r="G15">
        <v>33.094200000000001</v>
      </c>
      <c r="H15">
        <f t="shared" si="0"/>
        <v>0.15945227310853882</v>
      </c>
      <c r="I15">
        <f t="shared" si="1"/>
        <v>0.27758933064921992</v>
      </c>
    </row>
    <row r="16" spans="1:9" x14ac:dyDescent="0.55000000000000004">
      <c r="A16">
        <v>160</v>
      </c>
      <c r="B16">
        <v>128</v>
      </c>
      <c r="C16">
        <v>256</v>
      </c>
      <c r="D16">
        <v>1</v>
      </c>
      <c r="E16">
        <v>85.96</v>
      </c>
      <c r="F16">
        <v>18.129100000000001</v>
      </c>
      <c r="G16">
        <v>26.043099999999999</v>
      </c>
      <c r="H16">
        <f t="shared" si="0"/>
        <v>0.21090158213122384</v>
      </c>
      <c r="I16">
        <f t="shared" si="1"/>
        <v>0.3029676593764542</v>
      </c>
    </row>
    <row r="17" spans="1:9" x14ac:dyDescent="0.55000000000000004">
      <c r="A17">
        <v>160</v>
      </c>
      <c r="B17">
        <v>64</v>
      </c>
      <c r="C17">
        <v>1024</v>
      </c>
      <c r="D17">
        <v>5</v>
      </c>
      <c r="E17">
        <v>227.98</v>
      </c>
      <c r="F17">
        <v>17.6584</v>
      </c>
      <c r="G17">
        <v>26.790299999999998</v>
      </c>
      <c r="H17">
        <f t="shared" si="0"/>
        <v>7.7455917185718051E-2</v>
      </c>
      <c r="I17">
        <f t="shared" si="1"/>
        <v>0.11751162382665147</v>
      </c>
    </row>
    <row r="18" spans="1:9" x14ac:dyDescent="0.55000000000000004">
      <c r="A18">
        <v>160</v>
      </c>
      <c r="B18">
        <v>64</v>
      </c>
      <c r="C18">
        <v>1024</v>
      </c>
      <c r="D18">
        <v>4</v>
      </c>
      <c r="E18">
        <v>205.39</v>
      </c>
      <c r="F18">
        <v>16.5852</v>
      </c>
      <c r="G18">
        <v>26.159199999999998</v>
      </c>
      <c r="H18">
        <f t="shared" si="0"/>
        <v>8.0749793076586016E-2</v>
      </c>
      <c r="I18">
        <f t="shared" si="1"/>
        <v>0.12736355226641999</v>
      </c>
    </row>
    <row r="19" spans="1:9" x14ac:dyDescent="0.55000000000000004">
      <c r="A19">
        <v>160</v>
      </c>
      <c r="B19">
        <v>64</v>
      </c>
      <c r="C19">
        <v>1024</v>
      </c>
      <c r="D19">
        <v>3</v>
      </c>
      <c r="E19">
        <v>167.24</v>
      </c>
      <c r="F19">
        <v>17.500900000000001</v>
      </c>
      <c r="G19">
        <v>29.171800000000001</v>
      </c>
      <c r="H19">
        <f t="shared" si="0"/>
        <v>0.10464541975603923</v>
      </c>
      <c r="I19">
        <f t="shared" si="1"/>
        <v>0.17443075819182013</v>
      </c>
    </row>
    <row r="20" spans="1:9" x14ac:dyDescent="0.55000000000000004">
      <c r="A20">
        <v>160</v>
      </c>
      <c r="B20">
        <v>64</v>
      </c>
      <c r="C20">
        <v>1024</v>
      </c>
      <c r="D20">
        <v>2</v>
      </c>
      <c r="E20">
        <v>156.07</v>
      </c>
      <c r="F20">
        <v>17.123200000000001</v>
      </c>
      <c r="G20">
        <v>34.868099999999998</v>
      </c>
      <c r="H20">
        <f t="shared" si="0"/>
        <v>0.10971487153200488</v>
      </c>
      <c r="I20">
        <f t="shared" si="1"/>
        <v>0.22341321202024733</v>
      </c>
    </row>
    <row r="21" spans="1:9" x14ac:dyDescent="0.55000000000000004">
      <c r="A21">
        <v>160</v>
      </c>
      <c r="B21">
        <v>64</v>
      </c>
      <c r="C21">
        <v>1024</v>
      </c>
      <c r="D21">
        <v>1</v>
      </c>
      <c r="E21">
        <v>127.51</v>
      </c>
      <c r="F21">
        <v>15.9217</v>
      </c>
      <c r="G21">
        <v>23.3307</v>
      </c>
      <c r="H21">
        <f t="shared" si="0"/>
        <v>0.12486628499725511</v>
      </c>
      <c r="I21">
        <f t="shared" si="1"/>
        <v>0.18297153164457688</v>
      </c>
    </row>
    <row r="22" spans="1:9" x14ac:dyDescent="0.55000000000000004">
      <c r="A22">
        <v>160</v>
      </c>
      <c r="B22">
        <v>64</v>
      </c>
      <c r="C22">
        <v>512</v>
      </c>
      <c r="D22">
        <v>5</v>
      </c>
      <c r="E22">
        <v>214.3</v>
      </c>
      <c r="F22">
        <v>17.3797</v>
      </c>
      <c r="G22">
        <v>30.027200000000001</v>
      </c>
      <c r="H22">
        <f t="shared" si="0"/>
        <v>8.1099860009332711E-2</v>
      </c>
      <c r="I22">
        <f t="shared" si="1"/>
        <v>0.14011759216052264</v>
      </c>
    </row>
    <row r="23" spans="1:9" x14ac:dyDescent="0.55000000000000004">
      <c r="A23">
        <v>160</v>
      </c>
      <c r="B23">
        <v>64</v>
      </c>
      <c r="C23">
        <v>512</v>
      </c>
      <c r="D23">
        <v>4</v>
      </c>
      <c r="E23">
        <v>191.85</v>
      </c>
      <c r="F23">
        <v>17.4343</v>
      </c>
      <c r="G23">
        <v>30.891400000000001</v>
      </c>
      <c r="H23">
        <f t="shared" si="0"/>
        <v>9.0874641647120155E-2</v>
      </c>
      <c r="I23">
        <f t="shared" si="1"/>
        <v>0.16101850403961429</v>
      </c>
    </row>
    <row r="24" spans="1:9" x14ac:dyDescent="0.55000000000000004">
      <c r="A24">
        <v>160</v>
      </c>
      <c r="B24">
        <v>64</v>
      </c>
      <c r="C24">
        <v>512</v>
      </c>
      <c r="D24">
        <v>3</v>
      </c>
      <c r="E24">
        <v>151.80000000000001</v>
      </c>
      <c r="F24">
        <v>17.692699999999999</v>
      </c>
      <c r="G24">
        <v>41.718899999999998</v>
      </c>
      <c r="H24">
        <f t="shared" si="0"/>
        <v>0.11655270092226612</v>
      </c>
      <c r="I24">
        <f t="shared" si="1"/>
        <v>0.2748280632411067</v>
      </c>
    </row>
    <row r="25" spans="1:9" x14ac:dyDescent="0.55000000000000004">
      <c r="A25">
        <v>160</v>
      </c>
      <c r="B25">
        <v>64</v>
      </c>
      <c r="C25">
        <v>512</v>
      </c>
      <c r="D25">
        <v>2</v>
      </c>
      <c r="E25">
        <v>137.57</v>
      </c>
      <c r="F25">
        <v>15.6402</v>
      </c>
      <c r="G25">
        <v>22.035699999999999</v>
      </c>
      <c r="H25">
        <f t="shared" si="0"/>
        <v>0.11368903103874392</v>
      </c>
      <c r="I25">
        <f t="shared" si="1"/>
        <v>0.16017809115359452</v>
      </c>
    </row>
    <row r="26" spans="1:9" x14ac:dyDescent="0.55000000000000004">
      <c r="A26">
        <v>160</v>
      </c>
      <c r="B26">
        <v>64</v>
      </c>
      <c r="C26">
        <v>512</v>
      </c>
      <c r="D26">
        <v>1</v>
      </c>
      <c r="E26">
        <v>116.54</v>
      </c>
      <c r="F26">
        <v>18.278500000000001</v>
      </c>
      <c r="G26">
        <v>23.447900000000001</v>
      </c>
      <c r="H26">
        <f t="shared" si="0"/>
        <v>0.1568431439848979</v>
      </c>
      <c r="I26">
        <f t="shared" si="1"/>
        <v>0.20120044619873004</v>
      </c>
    </row>
    <row r="27" spans="1:9" x14ac:dyDescent="0.55000000000000004">
      <c r="A27">
        <v>160</v>
      </c>
      <c r="B27">
        <v>64</v>
      </c>
      <c r="C27">
        <v>256</v>
      </c>
      <c r="D27">
        <v>5</v>
      </c>
      <c r="E27">
        <v>171.03</v>
      </c>
      <c r="F27">
        <v>19.508299999999998</v>
      </c>
      <c r="G27">
        <v>30.607299999999999</v>
      </c>
      <c r="H27">
        <f t="shared" si="0"/>
        <v>0.11406361457054318</v>
      </c>
      <c r="I27">
        <f t="shared" si="1"/>
        <v>0.1789586622230018</v>
      </c>
    </row>
    <row r="28" spans="1:9" x14ac:dyDescent="0.55000000000000004">
      <c r="A28">
        <v>160</v>
      </c>
      <c r="B28">
        <v>64</v>
      </c>
      <c r="C28">
        <v>256</v>
      </c>
      <c r="D28">
        <v>4</v>
      </c>
      <c r="E28">
        <v>144.80000000000001</v>
      </c>
      <c r="F28">
        <v>19.236699999999999</v>
      </c>
      <c r="G28">
        <v>41.510899999999999</v>
      </c>
      <c r="H28">
        <f t="shared" si="0"/>
        <v>0.13285013812154695</v>
      </c>
      <c r="I28">
        <f t="shared" si="1"/>
        <v>0.28667748618784528</v>
      </c>
    </row>
    <row r="29" spans="1:9" x14ac:dyDescent="0.55000000000000004">
      <c r="A29">
        <v>160</v>
      </c>
      <c r="B29">
        <v>64</v>
      </c>
      <c r="C29">
        <v>256</v>
      </c>
      <c r="D29">
        <v>3</v>
      </c>
      <c r="E29">
        <v>105.33</v>
      </c>
      <c r="F29">
        <v>19.848199999999999</v>
      </c>
      <c r="G29">
        <v>26.910799999999998</v>
      </c>
      <c r="H29">
        <f t="shared" si="0"/>
        <v>0.18843824171651</v>
      </c>
      <c r="I29">
        <f t="shared" si="1"/>
        <v>0.25549036361910188</v>
      </c>
    </row>
    <row r="30" spans="1:9" x14ac:dyDescent="0.55000000000000004">
      <c r="A30">
        <v>160</v>
      </c>
      <c r="B30">
        <v>64</v>
      </c>
      <c r="C30">
        <v>256</v>
      </c>
      <c r="D30">
        <v>2</v>
      </c>
      <c r="E30">
        <v>96.09</v>
      </c>
      <c r="F30">
        <v>19.5092</v>
      </c>
      <c r="G30">
        <v>28.415099999999999</v>
      </c>
      <c r="H30">
        <f t="shared" si="0"/>
        <v>0.20303049224685191</v>
      </c>
      <c r="I30">
        <f t="shared" si="1"/>
        <v>0.29571339369341243</v>
      </c>
    </row>
    <row r="31" spans="1:9" x14ac:dyDescent="0.55000000000000004">
      <c r="A31">
        <v>160</v>
      </c>
      <c r="B31">
        <v>64</v>
      </c>
      <c r="C31">
        <v>256</v>
      </c>
      <c r="D31">
        <v>1</v>
      </c>
      <c r="E31">
        <v>69.44</v>
      </c>
      <c r="F31">
        <v>18.6431</v>
      </c>
      <c r="G31">
        <v>28.969899999999999</v>
      </c>
      <c r="H31">
        <f t="shared" si="0"/>
        <v>0.26847782258064518</v>
      </c>
      <c r="I31">
        <f t="shared" si="1"/>
        <v>0.41719326036866361</v>
      </c>
    </row>
    <row r="32" spans="1:9" x14ac:dyDescent="0.55000000000000004">
      <c r="A32">
        <v>80</v>
      </c>
      <c r="B32">
        <v>128</v>
      </c>
      <c r="C32">
        <v>1024</v>
      </c>
      <c r="D32">
        <v>5</v>
      </c>
      <c r="E32">
        <v>367.91</v>
      </c>
      <c r="F32">
        <v>17.0976</v>
      </c>
      <c r="G32">
        <v>33.904200000000003</v>
      </c>
      <c r="H32">
        <f t="shared" si="0"/>
        <v>4.6472235057486884E-2</v>
      </c>
      <c r="I32">
        <f t="shared" si="1"/>
        <v>9.2153515805495911E-2</v>
      </c>
    </row>
    <row r="33" spans="1:9" x14ac:dyDescent="0.55000000000000004">
      <c r="A33">
        <v>80</v>
      </c>
      <c r="B33">
        <v>128</v>
      </c>
      <c r="C33">
        <v>1024</v>
      </c>
      <c r="D33">
        <v>4</v>
      </c>
      <c r="E33">
        <v>328.45</v>
      </c>
      <c r="F33">
        <v>16.0502</v>
      </c>
      <c r="G33">
        <v>24.600100000000001</v>
      </c>
      <c r="H33">
        <f t="shared" si="0"/>
        <v>4.8866494139138378E-2</v>
      </c>
      <c r="I33">
        <f t="shared" si="1"/>
        <v>7.4897549094230478E-2</v>
      </c>
    </row>
    <row r="34" spans="1:9" x14ac:dyDescent="0.55000000000000004">
      <c r="A34">
        <v>80</v>
      </c>
      <c r="B34">
        <v>128</v>
      </c>
      <c r="C34">
        <v>1024</v>
      </c>
      <c r="D34">
        <v>3</v>
      </c>
      <c r="E34">
        <v>278.56</v>
      </c>
      <c r="F34">
        <v>16.828600000000002</v>
      </c>
      <c r="G34">
        <v>33.760100000000001</v>
      </c>
      <c r="H34">
        <f t="shared" si="0"/>
        <v>6.0412837449741533E-2</v>
      </c>
      <c r="I34">
        <f t="shared" si="1"/>
        <v>0.12119507466973005</v>
      </c>
    </row>
    <row r="35" spans="1:9" x14ac:dyDescent="0.55000000000000004">
      <c r="A35">
        <v>80</v>
      </c>
      <c r="B35">
        <v>128</v>
      </c>
      <c r="C35">
        <v>1024</v>
      </c>
      <c r="D35">
        <v>2</v>
      </c>
      <c r="E35">
        <v>259.83</v>
      </c>
      <c r="F35">
        <v>16.440899999999999</v>
      </c>
      <c r="G35">
        <v>27.283999999999999</v>
      </c>
      <c r="H35">
        <f t="shared" si="0"/>
        <v>6.3275603279067089E-2</v>
      </c>
      <c r="I35">
        <f t="shared" si="1"/>
        <v>0.10500712004002617</v>
      </c>
    </row>
    <row r="36" spans="1:9" x14ac:dyDescent="0.55000000000000004">
      <c r="A36">
        <v>80</v>
      </c>
      <c r="B36">
        <v>128</v>
      </c>
      <c r="C36">
        <v>1024</v>
      </c>
      <c r="D36">
        <v>1</v>
      </c>
      <c r="E36">
        <v>222.28</v>
      </c>
      <c r="F36">
        <v>15.529299999999999</v>
      </c>
      <c r="G36">
        <v>22.7165</v>
      </c>
      <c r="H36">
        <f t="shared" si="0"/>
        <v>6.9863685441785131E-2</v>
      </c>
      <c r="I36">
        <f t="shared" si="1"/>
        <v>0.10219767860356307</v>
      </c>
    </row>
    <row r="37" spans="1:9" x14ac:dyDescent="0.55000000000000004">
      <c r="A37">
        <v>80</v>
      </c>
      <c r="B37">
        <v>128</v>
      </c>
      <c r="C37">
        <v>512</v>
      </c>
      <c r="D37">
        <v>5</v>
      </c>
      <c r="E37">
        <v>345.74</v>
      </c>
      <c r="F37">
        <v>17.653700000000001</v>
      </c>
      <c r="G37">
        <v>44.966700000000003</v>
      </c>
      <c r="H37">
        <f t="shared" si="0"/>
        <v>5.1060623589980911E-2</v>
      </c>
      <c r="I37">
        <f t="shared" si="1"/>
        <v>0.1300592931104298</v>
      </c>
    </row>
    <row r="38" spans="1:9" x14ac:dyDescent="0.55000000000000004">
      <c r="A38">
        <v>80</v>
      </c>
      <c r="B38">
        <v>128</v>
      </c>
      <c r="C38">
        <v>512</v>
      </c>
      <c r="D38">
        <v>4</v>
      </c>
      <c r="E38">
        <v>307.17</v>
      </c>
      <c r="F38">
        <v>17.799299999999999</v>
      </c>
      <c r="G38">
        <v>32.121099999999998</v>
      </c>
      <c r="H38">
        <f t="shared" si="0"/>
        <v>5.7946088485203627E-2</v>
      </c>
      <c r="I38">
        <f t="shared" si="1"/>
        <v>0.10457108441579581</v>
      </c>
    </row>
    <row r="39" spans="1:9" x14ac:dyDescent="0.55000000000000004">
      <c r="A39">
        <v>80</v>
      </c>
      <c r="B39">
        <v>128</v>
      </c>
      <c r="C39">
        <v>512</v>
      </c>
      <c r="D39">
        <v>3</v>
      </c>
      <c r="E39">
        <v>256.5</v>
      </c>
      <c r="F39">
        <v>17.801400000000001</v>
      </c>
      <c r="G39">
        <v>31.760200000000001</v>
      </c>
      <c r="H39">
        <f t="shared" si="0"/>
        <v>6.9401169590643283E-2</v>
      </c>
      <c r="I39">
        <f t="shared" si="1"/>
        <v>0.12382144249512671</v>
      </c>
    </row>
    <row r="40" spans="1:9" x14ac:dyDescent="0.55000000000000004">
      <c r="A40">
        <v>80</v>
      </c>
      <c r="B40">
        <v>128</v>
      </c>
      <c r="C40">
        <v>512</v>
      </c>
      <c r="D40">
        <v>2</v>
      </c>
      <c r="E40">
        <v>236.36</v>
      </c>
      <c r="F40">
        <v>16.262899999999998</v>
      </c>
      <c r="G40">
        <v>23.628499999999999</v>
      </c>
      <c r="H40">
        <f t="shared" si="0"/>
        <v>6.8805635471314935E-2</v>
      </c>
      <c r="I40">
        <f t="shared" si="1"/>
        <v>9.9968268742596025E-2</v>
      </c>
    </row>
    <row r="41" spans="1:9" x14ac:dyDescent="0.55000000000000004">
      <c r="A41">
        <v>80</v>
      </c>
      <c r="B41">
        <v>128</v>
      </c>
      <c r="C41">
        <v>512</v>
      </c>
      <c r="D41">
        <v>1</v>
      </c>
      <c r="E41">
        <v>201.96</v>
      </c>
      <c r="F41">
        <v>18.443300000000001</v>
      </c>
      <c r="G41">
        <v>22.253799999999998</v>
      </c>
      <c r="H41">
        <f t="shared" si="0"/>
        <v>9.1321548821548817E-2</v>
      </c>
      <c r="I41">
        <f t="shared" si="1"/>
        <v>0.11018914636561694</v>
      </c>
    </row>
    <row r="42" spans="1:9" x14ac:dyDescent="0.55000000000000004">
      <c r="A42">
        <v>80</v>
      </c>
      <c r="B42">
        <v>128</v>
      </c>
      <c r="C42">
        <v>256</v>
      </c>
      <c r="D42">
        <v>5</v>
      </c>
      <c r="E42">
        <v>262.83999999999997</v>
      </c>
      <c r="F42">
        <v>18.883400000000002</v>
      </c>
      <c r="G42">
        <v>32.452199999999998</v>
      </c>
      <c r="H42">
        <f t="shared" si="0"/>
        <v>7.1843707198295553E-2</v>
      </c>
      <c r="I42">
        <f t="shared" si="1"/>
        <v>0.12346750875057069</v>
      </c>
    </row>
    <row r="43" spans="1:9" x14ac:dyDescent="0.55000000000000004">
      <c r="A43">
        <v>80</v>
      </c>
      <c r="B43">
        <v>128</v>
      </c>
      <c r="C43">
        <v>256</v>
      </c>
      <c r="D43">
        <v>4</v>
      </c>
      <c r="E43">
        <v>224.24</v>
      </c>
      <c r="F43">
        <v>18.617699999999999</v>
      </c>
      <c r="G43">
        <v>29.910499999999999</v>
      </c>
      <c r="H43">
        <f t="shared" si="0"/>
        <v>8.3025775954334635E-2</v>
      </c>
      <c r="I43">
        <f t="shared" si="1"/>
        <v>0.13338610417409916</v>
      </c>
    </row>
    <row r="44" spans="1:9" x14ac:dyDescent="0.55000000000000004">
      <c r="A44">
        <v>80</v>
      </c>
      <c r="B44">
        <v>128</v>
      </c>
      <c r="C44">
        <v>256</v>
      </c>
      <c r="D44">
        <v>3</v>
      </c>
      <c r="E44">
        <v>173.58</v>
      </c>
      <c r="F44">
        <v>19.424900000000001</v>
      </c>
      <c r="G44">
        <v>32.217399999999998</v>
      </c>
      <c r="H44">
        <f t="shared" si="0"/>
        <v>0.11190747782002534</v>
      </c>
      <c r="I44">
        <f t="shared" si="1"/>
        <v>0.18560548450282288</v>
      </c>
    </row>
    <row r="45" spans="1:9" x14ac:dyDescent="0.55000000000000004">
      <c r="A45">
        <v>80</v>
      </c>
      <c r="B45">
        <v>128</v>
      </c>
      <c r="C45">
        <v>256</v>
      </c>
      <c r="D45">
        <v>2</v>
      </c>
      <c r="E45">
        <v>155.33000000000001</v>
      </c>
      <c r="F45">
        <v>18.946000000000002</v>
      </c>
      <c r="G45">
        <v>33.285400000000003</v>
      </c>
      <c r="H45">
        <f t="shared" si="0"/>
        <v>0.1219725745187665</v>
      </c>
      <c r="I45">
        <f t="shared" si="1"/>
        <v>0.21428828944827141</v>
      </c>
    </row>
    <row r="46" spans="1:9" x14ac:dyDescent="0.55000000000000004">
      <c r="A46">
        <v>80</v>
      </c>
      <c r="B46">
        <v>128</v>
      </c>
      <c r="C46">
        <v>256</v>
      </c>
      <c r="D46">
        <v>1</v>
      </c>
      <c r="E46">
        <v>119.17</v>
      </c>
      <c r="F46">
        <v>18.437999999999999</v>
      </c>
      <c r="G46">
        <v>28.174399999999999</v>
      </c>
      <c r="H46">
        <f t="shared" si="0"/>
        <v>0.15472014768817655</v>
      </c>
      <c r="I46">
        <f t="shared" si="1"/>
        <v>0.23642191826802045</v>
      </c>
    </row>
    <row r="47" spans="1:9" x14ac:dyDescent="0.55000000000000004">
      <c r="A47">
        <v>80</v>
      </c>
      <c r="B47">
        <v>64</v>
      </c>
      <c r="C47">
        <v>1024</v>
      </c>
      <c r="D47">
        <v>5</v>
      </c>
      <c r="E47">
        <v>237.91</v>
      </c>
      <c r="F47">
        <v>17.6462</v>
      </c>
      <c r="G47">
        <v>26.043900000000001</v>
      </c>
      <c r="H47">
        <f t="shared" si="0"/>
        <v>7.4171745618090881E-2</v>
      </c>
      <c r="I47">
        <f t="shared" si="1"/>
        <v>0.10946954730780548</v>
      </c>
    </row>
    <row r="48" spans="1:9" x14ac:dyDescent="0.55000000000000004">
      <c r="A48">
        <v>80</v>
      </c>
      <c r="B48">
        <v>64</v>
      </c>
      <c r="C48">
        <v>1024</v>
      </c>
      <c r="D48">
        <v>4</v>
      </c>
      <c r="E48">
        <v>213.7</v>
      </c>
      <c r="F48">
        <v>16.386700000000001</v>
      </c>
      <c r="G48">
        <v>26.503799999999998</v>
      </c>
      <c r="H48">
        <f t="shared" si="0"/>
        <v>7.6680861020121671E-2</v>
      </c>
      <c r="I48">
        <f t="shared" si="1"/>
        <v>0.12402339728591483</v>
      </c>
    </row>
    <row r="49" spans="1:9" x14ac:dyDescent="0.55000000000000004">
      <c r="A49">
        <v>80</v>
      </c>
      <c r="B49">
        <v>64</v>
      </c>
      <c r="C49">
        <v>1024</v>
      </c>
      <c r="D49">
        <v>3</v>
      </c>
      <c r="E49">
        <v>176.85</v>
      </c>
      <c r="F49">
        <v>17.268999999999998</v>
      </c>
      <c r="G49">
        <v>29.835000000000001</v>
      </c>
      <c r="H49">
        <f t="shared" si="0"/>
        <v>9.7647724059937796E-2</v>
      </c>
      <c r="I49">
        <f t="shared" si="1"/>
        <v>0.16870229007633589</v>
      </c>
    </row>
    <row r="50" spans="1:9" x14ac:dyDescent="0.55000000000000004">
      <c r="A50">
        <v>80</v>
      </c>
      <c r="B50">
        <v>64</v>
      </c>
      <c r="C50">
        <v>1024</v>
      </c>
      <c r="D50">
        <v>2</v>
      </c>
      <c r="E50">
        <v>163.82</v>
      </c>
      <c r="F50">
        <v>16.790099999999999</v>
      </c>
      <c r="G50">
        <v>32.190399999999997</v>
      </c>
      <c r="H50">
        <f t="shared" si="0"/>
        <v>0.10249114882187767</v>
      </c>
      <c r="I50">
        <f t="shared" si="1"/>
        <v>0.19649859602002195</v>
      </c>
    </row>
    <row r="51" spans="1:9" x14ac:dyDescent="0.55000000000000004">
      <c r="A51">
        <v>80</v>
      </c>
      <c r="B51">
        <v>64</v>
      </c>
      <c r="C51">
        <v>1024</v>
      </c>
      <c r="D51">
        <v>1</v>
      </c>
      <c r="E51">
        <v>135.93</v>
      </c>
      <c r="F51">
        <v>15.897500000000001</v>
      </c>
      <c r="G51">
        <v>23.8492</v>
      </c>
      <c r="H51">
        <f t="shared" si="0"/>
        <v>0.11695357904803944</v>
      </c>
      <c r="I51">
        <f t="shared" si="1"/>
        <v>0.17545207091885529</v>
      </c>
    </row>
    <row r="52" spans="1:9" x14ac:dyDescent="0.55000000000000004">
      <c r="A52">
        <v>80</v>
      </c>
      <c r="B52">
        <v>64</v>
      </c>
      <c r="C52">
        <v>512</v>
      </c>
      <c r="D52">
        <v>5</v>
      </c>
      <c r="E52">
        <v>227.75</v>
      </c>
      <c r="F52">
        <v>17.2318</v>
      </c>
      <c r="G52">
        <v>29.898</v>
      </c>
      <c r="H52">
        <f t="shared" si="0"/>
        <v>7.5661031833150386E-2</v>
      </c>
      <c r="I52">
        <f t="shared" si="1"/>
        <v>0.13127552140504939</v>
      </c>
    </row>
    <row r="53" spans="1:9" x14ac:dyDescent="0.55000000000000004">
      <c r="A53">
        <v>80</v>
      </c>
      <c r="B53">
        <v>64</v>
      </c>
      <c r="C53">
        <v>512</v>
      </c>
      <c r="D53">
        <v>4</v>
      </c>
      <c r="E53">
        <v>206.71</v>
      </c>
      <c r="F53">
        <v>17.3918</v>
      </c>
      <c r="G53">
        <v>32.283700000000003</v>
      </c>
      <c r="H53">
        <f t="shared" si="0"/>
        <v>8.4136229500266072E-2</v>
      </c>
      <c r="I53">
        <f t="shared" si="1"/>
        <v>0.1561787044651928</v>
      </c>
    </row>
    <row r="54" spans="1:9" x14ac:dyDescent="0.55000000000000004">
      <c r="A54">
        <v>80</v>
      </c>
      <c r="B54">
        <v>64</v>
      </c>
      <c r="C54">
        <v>512</v>
      </c>
      <c r="D54">
        <v>3</v>
      </c>
      <c r="E54">
        <v>165.61</v>
      </c>
      <c r="F54">
        <v>17.428599999999999</v>
      </c>
      <c r="G54">
        <v>33.710799999999999</v>
      </c>
      <c r="H54">
        <f t="shared" si="0"/>
        <v>0.10523881408127528</v>
      </c>
      <c r="I54">
        <f t="shared" si="1"/>
        <v>0.20355534086105909</v>
      </c>
    </row>
    <row r="55" spans="1:9" x14ac:dyDescent="0.55000000000000004">
      <c r="A55">
        <v>80</v>
      </c>
      <c r="B55">
        <v>64</v>
      </c>
      <c r="C55">
        <v>512</v>
      </c>
      <c r="D55">
        <v>2</v>
      </c>
      <c r="E55">
        <v>153.1</v>
      </c>
      <c r="F55">
        <v>15.7753</v>
      </c>
      <c r="G55">
        <v>22.2653</v>
      </c>
      <c r="H55">
        <f t="shared" si="0"/>
        <v>0.10303919007184846</v>
      </c>
      <c r="I55">
        <f t="shared" si="1"/>
        <v>0.14542978445460483</v>
      </c>
    </row>
    <row r="56" spans="1:9" x14ac:dyDescent="0.55000000000000004">
      <c r="A56">
        <v>80</v>
      </c>
      <c r="B56">
        <v>64</v>
      </c>
      <c r="C56">
        <v>512</v>
      </c>
      <c r="D56">
        <v>1</v>
      </c>
      <c r="E56">
        <v>126.16</v>
      </c>
      <c r="F56">
        <v>18.2881</v>
      </c>
      <c r="G56">
        <v>23.6706</v>
      </c>
      <c r="H56">
        <f t="shared" si="0"/>
        <v>0.14495957514267596</v>
      </c>
      <c r="I56">
        <f t="shared" si="1"/>
        <v>0.18762365250475588</v>
      </c>
    </row>
    <row r="57" spans="1:9" x14ac:dyDescent="0.55000000000000004">
      <c r="A57">
        <v>80</v>
      </c>
      <c r="B57">
        <v>64</v>
      </c>
      <c r="C57">
        <v>256</v>
      </c>
      <c r="D57">
        <v>5</v>
      </c>
      <c r="E57">
        <v>187.11</v>
      </c>
      <c r="F57">
        <v>19.4312</v>
      </c>
      <c r="G57">
        <v>32.311399999999999</v>
      </c>
      <c r="H57">
        <f t="shared" si="0"/>
        <v>0.10384907273796162</v>
      </c>
      <c r="I57">
        <f t="shared" si="1"/>
        <v>0.17268665490887711</v>
      </c>
    </row>
    <row r="58" spans="1:9" x14ac:dyDescent="0.55000000000000004">
      <c r="A58">
        <v>80</v>
      </c>
      <c r="B58">
        <v>64</v>
      </c>
      <c r="C58">
        <v>256</v>
      </c>
      <c r="D58">
        <v>4</v>
      </c>
      <c r="E58">
        <v>162.34</v>
      </c>
      <c r="F58">
        <v>19.1587</v>
      </c>
      <c r="G58">
        <v>41.773499999999999</v>
      </c>
      <c r="H58">
        <f t="shared" si="0"/>
        <v>0.11801589257114697</v>
      </c>
      <c r="I58">
        <f t="shared" si="1"/>
        <v>0.25732105457681409</v>
      </c>
    </row>
    <row r="59" spans="1:9" x14ac:dyDescent="0.55000000000000004">
      <c r="A59">
        <v>80</v>
      </c>
      <c r="B59">
        <v>64</v>
      </c>
      <c r="C59">
        <v>256</v>
      </c>
      <c r="D59">
        <v>3</v>
      </c>
      <c r="E59">
        <v>123.18</v>
      </c>
      <c r="F59">
        <v>19.8827</v>
      </c>
      <c r="G59">
        <v>27.001300000000001</v>
      </c>
      <c r="H59">
        <f t="shared" si="0"/>
        <v>0.16141175515505762</v>
      </c>
      <c r="I59">
        <f t="shared" si="1"/>
        <v>0.21920198084104561</v>
      </c>
    </row>
    <row r="60" spans="1:9" x14ac:dyDescent="0.55000000000000004">
      <c r="A60">
        <v>80</v>
      </c>
      <c r="B60">
        <v>64</v>
      </c>
      <c r="C60">
        <v>256</v>
      </c>
      <c r="D60">
        <v>2</v>
      </c>
      <c r="E60">
        <v>113.51</v>
      </c>
      <c r="F60">
        <v>19.532299999999999</v>
      </c>
      <c r="G60">
        <v>28.259599999999999</v>
      </c>
      <c r="H60">
        <f t="shared" si="0"/>
        <v>0.17207558805391593</v>
      </c>
      <c r="I60">
        <f t="shared" si="1"/>
        <v>0.24896132499339263</v>
      </c>
    </row>
    <row r="61" spans="1:9" x14ac:dyDescent="0.55000000000000004">
      <c r="A61">
        <v>80</v>
      </c>
      <c r="B61">
        <v>64</v>
      </c>
      <c r="C61">
        <v>256</v>
      </c>
      <c r="D61">
        <v>1</v>
      </c>
      <c r="E61">
        <v>84.95</v>
      </c>
      <c r="F61">
        <v>18.4267</v>
      </c>
      <c r="G61">
        <v>28.117100000000001</v>
      </c>
      <c r="H61">
        <f t="shared" si="0"/>
        <v>0.21691230135373749</v>
      </c>
      <c r="I61">
        <f t="shared" si="1"/>
        <v>0.33098410829899944</v>
      </c>
    </row>
    <row r="62" spans="1:9" x14ac:dyDescent="0.55000000000000004">
      <c r="A62">
        <v>40</v>
      </c>
      <c r="B62">
        <v>128</v>
      </c>
      <c r="C62">
        <v>1024</v>
      </c>
      <c r="D62">
        <v>5</v>
      </c>
      <c r="E62">
        <v>351.5</v>
      </c>
      <c r="F62">
        <v>17.272099999999998</v>
      </c>
      <c r="G62">
        <v>31.793500000000002</v>
      </c>
      <c r="H62">
        <f t="shared" si="0"/>
        <v>4.9138264580369836E-2</v>
      </c>
      <c r="I62">
        <f t="shared" si="1"/>
        <v>9.0450924608819344E-2</v>
      </c>
    </row>
    <row r="63" spans="1:9" x14ac:dyDescent="0.55000000000000004">
      <c r="A63">
        <v>40</v>
      </c>
      <c r="B63">
        <v>128</v>
      </c>
      <c r="C63">
        <v>1024</v>
      </c>
      <c r="D63">
        <v>4</v>
      </c>
      <c r="E63">
        <v>310.75</v>
      </c>
      <c r="F63">
        <v>16.060300000000002</v>
      </c>
      <c r="G63">
        <v>24.615100000000002</v>
      </c>
      <c r="H63">
        <f t="shared" si="0"/>
        <v>5.1682381335478686E-2</v>
      </c>
      <c r="I63">
        <f t="shared" si="1"/>
        <v>7.9211906677393404E-2</v>
      </c>
    </row>
    <row r="64" spans="1:9" x14ac:dyDescent="0.55000000000000004">
      <c r="A64">
        <v>40</v>
      </c>
      <c r="B64">
        <v>128</v>
      </c>
      <c r="C64">
        <v>1024</v>
      </c>
      <c r="D64">
        <v>3</v>
      </c>
      <c r="E64">
        <v>260.52</v>
      </c>
      <c r="F64">
        <v>16.9848</v>
      </c>
      <c r="G64">
        <v>44.563800000000001</v>
      </c>
      <c r="H64">
        <f t="shared" si="0"/>
        <v>6.5195762321510822E-2</v>
      </c>
      <c r="I64">
        <f t="shared" si="1"/>
        <v>0.17105711653615846</v>
      </c>
    </row>
    <row r="65" spans="1:9" x14ac:dyDescent="0.55000000000000004">
      <c r="A65">
        <v>40</v>
      </c>
      <c r="B65">
        <v>128</v>
      </c>
      <c r="C65">
        <v>1024</v>
      </c>
      <c r="D65">
        <v>2</v>
      </c>
      <c r="E65">
        <v>240.9</v>
      </c>
      <c r="F65">
        <v>16.292100000000001</v>
      </c>
      <c r="G65">
        <v>26.0975</v>
      </c>
      <c r="H65">
        <f t="shared" si="0"/>
        <v>6.7630136986301367E-2</v>
      </c>
      <c r="I65">
        <f t="shared" si="1"/>
        <v>0.10833333333333334</v>
      </c>
    </row>
    <row r="66" spans="1:9" x14ac:dyDescent="0.55000000000000004">
      <c r="A66">
        <v>40</v>
      </c>
      <c r="B66">
        <v>128</v>
      </c>
      <c r="C66">
        <v>1024</v>
      </c>
      <c r="D66">
        <v>1</v>
      </c>
      <c r="E66">
        <v>208.68</v>
      </c>
      <c r="F66">
        <v>15.4032</v>
      </c>
      <c r="G66">
        <v>22.326499999999999</v>
      </c>
      <c r="H66">
        <f t="shared" si="0"/>
        <v>7.3812535940195517E-2</v>
      </c>
      <c r="I66">
        <f t="shared" si="1"/>
        <v>0.10698917002108491</v>
      </c>
    </row>
    <row r="67" spans="1:9" x14ac:dyDescent="0.55000000000000004">
      <c r="A67">
        <v>40</v>
      </c>
      <c r="B67">
        <v>128</v>
      </c>
      <c r="C67">
        <v>512</v>
      </c>
      <c r="D67">
        <v>5</v>
      </c>
      <c r="E67">
        <v>347.66</v>
      </c>
      <c r="F67">
        <v>17.4391</v>
      </c>
      <c r="G67">
        <v>45.413899999999998</v>
      </c>
      <c r="H67">
        <f t="shared" ref="H67:H91" si="2">F67/E67</f>
        <v>5.016136455157337E-2</v>
      </c>
      <c r="I67">
        <f t="shared" ref="I67:I91" si="3">G67/E67</f>
        <v>0.13062733705344301</v>
      </c>
    </row>
    <row r="68" spans="1:9" x14ac:dyDescent="0.55000000000000004">
      <c r="A68">
        <v>40</v>
      </c>
      <c r="B68">
        <v>128</v>
      </c>
      <c r="C68">
        <v>512</v>
      </c>
      <c r="D68">
        <v>4</v>
      </c>
      <c r="E68">
        <v>310.20999999999998</v>
      </c>
      <c r="F68">
        <v>17.755099999999999</v>
      </c>
      <c r="G68">
        <v>29.595400000000001</v>
      </c>
      <c r="H68">
        <f t="shared" si="2"/>
        <v>5.7235743528577417E-2</v>
      </c>
      <c r="I68">
        <f t="shared" si="3"/>
        <v>9.5404403468618046E-2</v>
      </c>
    </row>
    <row r="69" spans="1:9" x14ac:dyDescent="0.55000000000000004">
      <c r="A69">
        <v>40</v>
      </c>
      <c r="B69">
        <v>128</v>
      </c>
      <c r="C69">
        <v>512</v>
      </c>
      <c r="D69">
        <v>3</v>
      </c>
      <c r="E69">
        <v>258.18</v>
      </c>
      <c r="F69">
        <v>17.755099999999999</v>
      </c>
      <c r="G69">
        <v>29.6526</v>
      </c>
      <c r="H69">
        <f t="shared" si="2"/>
        <v>6.8770237818576177E-2</v>
      </c>
      <c r="I69">
        <f t="shared" si="3"/>
        <v>0.11485242853822913</v>
      </c>
    </row>
    <row r="70" spans="1:9" x14ac:dyDescent="0.55000000000000004">
      <c r="A70">
        <v>40</v>
      </c>
      <c r="B70">
        <v>128</v>
      </c>
      <c r="C70">
        <v>512</v>
      </c>
      <c r="D70">
        <v>2</v>
      </c>
      <c r="E70">
        <v>239.09</v>
      </c>
      <c r="F70">
        <v>16.5473</v>
      </c>
      <c r="G70">
        <v>25.665199999999999</v>
      </c>
      <c r="H70">
        <f t="shared" si="2"/>
        <v>6.9209502697728881E-2</v>
      </c>
      <c r="I70">
        <f t="shared" si="3"/>
        <v>0.10734535112300807</v>
      </c>
    </row>
    <row r="71" spans="1:9" x14ac:dyDescent="0.55000000000000004">
      <c r="A71">
        <v>40</v>
      </c>
      <c r="B71">
        <v>128</v>
      </c>
      <c r="C71">
        <v>512</v>
      </c>
      <c r="D71">
        <v>1</v>
      </c>
      <c r="E71">
        <v>204.76</v>
      </c>
      <c r="F71">
        <v>18.472300000000001</v>
      </c>
      <c r="G71">
        <v>22.5032</v>
      </c>
      <c r="H71">
        <f t="shared" si="2"/>
        <v>9.0214397343231112E-2</v>
      </c>
      <c r="I71">
        <f t="shared" si="3"/>
        <v>0.1099003711662434</v>
      </c>
    </row>
    <row r="72" spans="1:9" x14ac:dyDescent="0.55000000000000004">
      <c r="A72">
        <v>40</v>
      </c>
      <c r="B72">
        <v>128</v>
      </c>
      <c r="C72">
        <v>256</v>
      </c>
      <c r="D72">
        <v>5</v>
      </c>
      <c r="E72">
        <v>297.12</v>
      </c>
      <c r="F72">
        <v>18.856999999999999</v>
      </c>
      <c r="G72">
        <v>44.321599999999997</v>
      </c>
      <c r="H72">
        <f t="shared" si="2"/>
        <v>6.3465939687668282E-2</v>
      </c>
      <c r="I72">
        <f t="shared" si="3"/>
        <v>0.14917070543887989</v>
      </c>
    </row>
    <row r="73" spans="1:9" x14ac:dyDescent="0.55000000000000004">
      <c r="A73">
        <v>40</v>
      </c>
      <c r="B73">
        <v>128</v>
      </c>
      <c r="C73">
        <v>256</v>
      </c>
      <c r="D73">
        <v>4</v>
      </c>
      <c r="E73">
        <v>255.44</v>
      </c>
      <c r="F73">
        <v>18.813199999999998</v>
      </c>
      <c r="G73">
        <v>38.545099999999998</v>
      </c>
      <c r="H73">
        <f t="shared" si="2"/>
        <v>7.3650172251800802E-2</v>
      </c>
      <c r="I73">
        <f t="shared" si="3"/>
        <v>0.15089688380833072</v>
      </c>
    </row>
    <row r="74" spans="1:9" x14ac:dyDescent="0.55000000000000004">
      <c r="A74">
        <v>40</v>
      </c>
      <c r="B74">
        <v>128</v>
      </c>
      <c r="C74">
        <v>256</v>
      </c>
      <c r="D74">
        <v>3</v>
      </c>
      <c r="E74">
        <v>205.25</v>
      </c>
      <c r="F74">
        <v>18.837800000000001</v>
      </c>
      <c r="G74">
        <v>41.18</v>
      </c>
      <c r="H74">
        <f t="shared" si="2"/>
        <v>9.1779780755176621E-2</v>
      </c>
      <c r="I74">
        <f t="shared" si="3"/>
        <v>0.20063337393422656</v>
      </c>
    </row>
    <row r="75" spans="1:9" x14ac:dyDescent="0.55000000000000004">
      <c r="A75">
        <v>40</v>
      </c>
      <c r="B75">
        <v>128</v>
      </c>
      <c r="C75">
        <v>256</v>
      </c>
      <c r="D75">
        <v>2</v>
      </c>
      <c r="E75">
        <v>186.56</v>
      </c>
      <c r="F75">
        <v>18.637799999999999</v>
      </c>
      <c r="G75">
        <v>32.9953</v>
      </c>
      <c r="H75">
        <f t="shared" si="2"/>
        <v>9.9902444253859343E-2</v>
      </c>
      <c r="I75">
        <f t="shared" si="3"/>
        <v>0.17686159948542024</v>
      </c>
    </row>
    <row r="76" spans="1:9" x14ac:dyDescent="0.55000000000000004">
      <c r="A76">
        <v>40</v>
      </c>
      <c r="B76">
        <v>128</v>
      </c>
      <c r="C76">
        <v>256</v>
      </c>
      <c r="D76">
        <v>1</v>
      </c>
      <c r="E76">
        <v>152.4</v>
      </c>
      <c r="F76">
        <v>18.611000000000001</v>
      </c>
      <c r="G76">
        <v>32.618000000000002</v>
      </c>
      <c r="H76">
        <f t="shared" si="2"/>
        <v>0.12211942257217848</v>
      </c>
      <c r="I76">
        <f t="shared" si="3"/>
        <v>0.21402887139107613</v>
      </c>
    </row>
    <row r="77" spans="1:9" x14ac:dyDescent="0.55000000000000004">
      <c r="A77">
        <v>40</v>
      </c>
      <c r="B77">
        <v>64</v>
      </c>
      <c r="C77">
        <v>1024</v>
      </c>
      <c r="D77">
        <v>5</v>
      </c>
      <c r="E77">
        <v>231.55</v>
      </c>
      <c r="F77">
        <v>17.548999999999999</v>
      </c>
      <c r="G77">
        <v>26.988499999999998</v>
      </c>
      <c r="H77">
        <f t="shared" si="2"/>
        <v>7.5789246383070608E-2</v>
      </c>
      <c r="I77">
        <f t="shared" si="3"/>
        <v>0.11655581947743467</v>
      </c>
    </row>
    <row r="78" spans="1:9" x14ac:dyDescent="0.55000000000000004">
      <c r="A78">
        <v>40</v>
      </c>
      <c r="B78">
        <v>64</v>
      </c>
      <c r="C78">
        <v>1024</v>
      </c>
      <c r="D78">
        <v>4</v>
      </c>
      <c r="E78">
        <v>206.59</v>
      </c>
      <c r="F78">
        <v>16.397500000000001</v>
      </c>
      <c r="G78">
        <v>26.31</v>
      </c>
      <c r="H78">
        <f t="shared" si="2"/>
        <v>7.9372186456266036E-2</v>
      </c>
      <c r="I78">
        <f t="shared" si="3"/>
        <v>0.12735369572583377</v>
      </c>
    </row>
    <row r="79" spans="1:9" x14ac:dyDescent="0.55000000000000004">
      <c r="A79">
        <v>40</v>
      </c>
      <c r="B79">
        <v>64</v>
      </c>
      <c r="C79">
        <v>1024</v>
      </c>
      <c r="D79">
        <v>3</v>
      </c>
      <c r="E79">
        <v>167.52</v>
      </c>
      <c r="F79">
        <v>17.5595</v>
      </c>
      <c r="G79">
        <v>27.021999999999998</v>
      </c>
      <c r="H79">
        <f t="shared" si="2"/>
        <v>0.1048203199617956</v>
      </c>
      <c r="I79">
        <f t="shared" si="3"/>
        <v>0.16130611270296083</v>
      </c>
    </row>
    <row r="80" spans="1:9" x14ac:dyDescent="0.55000000000000004">
      <c r="A80">
        <v>40</v>
      </c>
      <c r="B80">
        <v>64</v>
      </c>
      <c r="C80">
        <v>1024</v>
      </c>
      <c r="D80">
        <v>2</v>
      </c>
      <c r="E80">
        <v>156.75</v>
      </c>
      <c r="F80">
        <v>16.9236</v>
      </c>
      <c r="G80">
        <v>37.175600000000003</v>
      </c>
      <c r="H80">
        <f t="shared" si="2"/>
        <v>0.10796555023923446</v>
      </c>
      <c r="I80">
        <f t="shared" si="3"/>
        <v>0.23716491228070177</v>
      </c>
    </row>
    <row r="81" spans="1:9" x14ac:dyDescent="0.55000000000000004">
      <c r="A81">
        <v>40</v>
      </c>
      <c r="B81">
        <v>64</v>
      </c>
      <c r="C81">
        <v>1024</v>
      </c>
      <c r="D81">
        <v>1</v>
      </c>
      <c r="E81">
        <v>129.15</v>
      </c>
      <c r="F81">
        <v>16.0733</v>
      </c>
      <c r="G81">
        <v>24.5184</v>
      </c>
      <c r="H81">
        <f t="shared" si="2"/>
        <v>0.12445451025938831</v>
      </c>
      <c r="I81">
        <f t="shared" si="3"/>
        <v>0.18984436701509871</v>
      </c>
    </row>
    <row r="82" spans="1:9" x14ac:dyDescent="0.55000000000000004">
      <c r="A82">
        <v>40</v>
      </c>
      <c r="B82">
        <v>64</v>
      </c>
      <c r="C82">
        <v>512</v>
      </c>
      <c r="D82">
        <v>5</v>
      </c>
      <c r="E82">
        <v>230.04</v>
      </c>
      <c r="F82">
        <v>17.078900000000001</v>
      </c>
      <c r="G82">
        <v>33.174599999999998</v>
      </c>
      <c r="H82">
        <f t="shared" si="2"/>
        <v>7.4243175099982614E-2</v>
      </c>
      <c r="I82">
        <f t="shared" si="3"/>
        <v>0.14421231090245173</v>
      </c>
    </row>
    <row r="83" spans="1:9" x14ac:dyDescent="0.55000000000000004">
      <c r="A83">
        <v>40</v>
      </c>
      <c r="B83">
        <v>64</v>
      </c>
      <c r="C83">
        <v>512</v>
      </c>
      <c r="D83">
        <v>4</v>
      </c>
      <c r="E83">
        <v>208.56</v>
      </c>
      <c r="F83">
        <v>17.0366</v>
      </c>
      <c r="G83">
        <v>30.9377</v>
      </c>
      <c r="H83">
        <f t="shared" si="2"/>
        <v>8.1686804756425008E-2</v>
      </c>
      <c r="I83">
        <f t="shared" si="3"/>
        <v>0.14833956655159186</v>
      </c>
    </row>
    <row r="84" spans="1:9" x14ac:dyDescent="0.55000000000000004">
      <c r="A84">
        <v>40</v>
      </c>
      <c r="B84">
        <v>64</v>
      </c>
      <c r="C84">
        <v>512</v>
      </c>
      <c r="D84">
        <v>3</v>
      </c>
      <c r="E84">
        <v>165.89</v>
      </c>
      <c r="F84">
        <v>17.4192</v>
      </c>
      <c r="G84">
        <v>42.106000000000002</v>
      </c>
      <c r="H84">
        <f t="shared" si="2"/>
        <v>0.10500452106817772</v>
      </c>
      <c r="I84">
        <f t="shared" si="3"/>
        <v>0.25381879558743747</v>
      </c>
    </row>
    <row r="85" spans="1:9" x14ac:dyDescent="0.55000000000000004">
      <c r="A85">
        <v>40</v>
      </c>
      <c r="B85">
        <v>64</v>
      </c>
      <c r="C85">
        <v>512</v>
      </c>
      <c r="D85">
        <v>2</v>
      </c>
      <c r="E85">
        <v>154.18</v>
      </c>
      <c r="F85">
        <v>15.5085</v>
      </c>
      <c r="G85">
        <v>22.23</v>
      </c>
      <c r="H85">
        <f t="shared" si="2"/>
        <v>0.10058697626151251</v>
      </c>
      <c r="I85">
        <f t="shared" si="3"/>
        <v>0.14418212478920742</v>
      </c>
    </row>
    <row r="86" spans="1:9" x14ac:dyDescent="0.55000000000000004">
      <c r="A86">
        <v>40</v>
      </c>
      <c r="B86">
        <v>64</v>
      </c>
      <c r="C86">
        <v>512</v>
      </c>
      <c r="D86">
        <v>1</v>
      </c>
      <c r="E86">
        <v>128.19</v>
      </c>
      <c r="F86">
        <v>18.495699999999999</v>
      </c>
      <c r="G86">
        <v>22.565000000000001</v>
      </c>
      <c r="H86">
        <f t="shared" si="2"/>
        <v>0.14428348545128325</v>
      </c>
      <c r="I86">
        <f t="shared" si="3"/>
        <v>0.17602777127701069</v>
      </c>
    </row>
    <row r="87" spans="1:9" x14ac:dyDescent="0.55000000000000004">
      <c r="A87">
        <v>40</v>
      </c>
      <c r="B87">
        <v>64</v>
      </c>
      <c r="C87">
        <v>256</v>
      </c>
      <c r="D87">
        <v>5</v>
      </c>
      <c r="E87">
        <v>205.23</v>
      </c>
      <c r="F87">
        <v>18.850100000000001</v>
      </c>
      <c r="G87">
        <v>41.6676</v>
      </c>
      <c r="H87">
        <f t="shared" si="2"/>
        <v>9.1848657603664188E-2</v>
      </c>
      <c r="I87">
        <f t="shared" si="3"/>
        <v>0.20302879695950884</v>
      </c>
    </row>
    <row r="88" spans="1:9" x14ac:dyDescent="0.55000000000000004">
      <c r="A88">
        <v>40</v>
      </c>
      <c r="B88">
        <v>64</v>
      </c>
      <c r="C88">
        <v>256</v>
      </c>
      <c r="D88">
        <v>4</v>
      </c>
      <c r="E88">
        <v>178.76</v>
      </c>
      <c r="F88">
        <v>18.849799999999998</v>
      </c>
      <c r="G88">
        <v>41.1295</v>
      </c>
      <c r="H88">
        <f t="shared" si="2"/>
        <v>0.10544752741105393</v>
      </c>
      <c r="I88">
        <f t="shared" si="3"/>
        <v>0.23008223316178117</v>
      </c>
    </row>
    <row r="89" spans="1:9" x14ac:dyDescent="0.55000000000000004">
      <c r="A89">
        <v>40</v>
      </c>
      <c r="B89">
        <v>64</v>
      </c>
      <c r="C89">
        <v>256</v>
      </c>
      <c r="D89">
        <v>3</v>
      </c>
      <c r="E89">
        <v>140.19</v>
      </c>
      <c r="F89">
        <v>18.872199999999999</v>
      </c>
      <c r="G89">
        <v>33.431899999999999</v>
      </c>
      <c r="H89">
        <f t="shared" si="2"/>
        <v>0.13461873172123545</v>
      </c>
      <c r="I89">
        <f t="shared" si="3"/>
        <v>0.23847564020258222</v>
      </c>
    </row>
    <row r="90" spans="1:9" x14ac:dyDescent="0.55000000000000004">
      <c r="A90">
        <v>40</v>
      </c>
      <c r="B90">
        <v>64</v>
      </c>
      <c r="C90">
        <v>256</v>
      </c>
      <c r="D90">
        <v>2</v>
      </c>
      <c r="E90">
        <v>128.44999999999999</v>
      </c>
      <c r="F90">
        <v>18.742000000000001</v>
      </c>
      <c r="G90">
        <v>35.345399999999998</v>
      </c>
      <c r="H90">
        <f t="shared" si="2"/>
        <v>0.14590891397430908</v>
      </c>
      <c r="I90">
        <f t="shared" si="3"/>
        <v>0.27516854807318025</v>
      </c>
    </row>
    <row r="91" spans="1:9" x14ac:dyDescent="0.55000000000000004">
      <c r="A91">
        <v>40</v>
      </c>
      <c r="B91">
        <v>64</v>
      </c>
      <c r="C91">
        <v>256</v>
      </c>
      <c r="D91">
        <v>1</v>
      </c>
      <c r="E91">
        <v>103.76</v>
      </c>
      <c r="F91">
        <v>18.610800000000001</v>
      </c>
      <c r="G91">
        <v>32.4985</v>
      </c>
      <c r="H91">
        <f t="shared" si="2"/>
        <v>0.17936391673091751</v>
      </c>
      <c r="I91">
        <f t="shared" si="3"/>
        <v>0.31320836545875097</v>
      </c>
    </row>
    <row r="92" spans="1:9" x14ac:dyDescent="0.55000000000000004">
      <c r="H92">
        <f>MAX(H2:H91)</f>
        <v>0.26847782258064518</v>
      </c>
      <c r="I92">
        <f>MAX(I2:I91)</f>
        <v>0.41719326036866361</v>
      </c>
    </row>
    <row r="93" spans="1:9" x14ac:dyDescent="0.55000000000000004">
      <c r="H93">
        <f>MATCH(H92,H2:H91,0)</f>
        <v>30</v>
      </c>
      <c r="I93">
        <f>MATCH(I92,I2:I91,0)</f>
        <v>30</v>
      </c>
    </row>
    <row r="94" spans="1:9" x14ac:dyDescent="0.55000000000000004">
      <c r="D94" t="s">
        <v>9</v>
      </c>
    </row>
    <row r="95" spans="1:9" x14ac:dyDescent="0.55000000000000004">
      <c r="D95" t="s">
        <v>1</v>
      </c>
      <c r="E95" t="s">
        <v>2</v>
      </c>
      <c r="F95" t="s">
        <v>4</v>
      </c>
      <c r="G95" t="s">
        <v>5</v>
      </c>
      <c r="H95" t="s">
        <v>7</v>
      </c>
      <c r="I95" t="s">
        <v>8</v>
      </c>
    </row>
    <row r="96" spans="1:9" x14ac:dyDescent="0.55000000000000004">
      <c r="D96">
        <v>160</v>
      </c>
      <c r="E96">
        <v>1024</v>
      </c>
      <c r="F96">
        <v>15.860900000000001</v>
      </c>
      <c r="G96">
        <v>20.592500000000001</v>
      </c>
    </row>
    <row r="97" spans="4:7" x14ac:dyDescent="0.55000000000000004">
      <c r="D97">
        <v>160</v>
      </c>
      <c r="E97">
        <v>512</v>
      </c>
      <c r="F97">
        <v>16.7651</v>
      </c>
      <c r="G97">
        <v>21.4801</v>
      </c>
    </row>
    <row r="98" spans="4:7" x14ac:dyDescent="0.55000000000000004">
      <c r="D98">
        <v>160</v>
      </c>
      <c r="E98">
        <v>256</v>
      </c>
      <c r="F98">
        <v>18.454999999999998</v>
      </c>
      <c r="G98">
        <v>23.360600000000002</v>
      </c>
    </row>
    <row r="99" spans="4:7" x14ac:dyDescent="0.55000000000000004">
      <c r="D99">
        <v>80</v>
      </c>
      <c r="E99">
        <v>1024</v>
      </c>
      <c r="F99">
        <v>16.534400000000002</v>
      </c>
      <c r="G99">
        <v>27.1829</v>
      </c>
    </row>
    <row r="100" spans="4:7" x14ac:dyDescent="0.55000000000000004">
      <c r="D100">
        <v>80</v>
      </c>
      <c r="E100">
        <v>512</v>
      </c>
      <c r="F100">
        <v>16.8674</v>
      </c>
      <c r="G100">
        <v>25.917000000000002</v>
      </c>
    </row>
    <row r="101" spans="4:7" x14ac:dyDescent="0.55000000000000004">
      <c r="D101">
        <v>80</v>
      </c>
      <c r="E101">
        <v>256</v>
      </c>
      <c r="F101">
        <v>18.189900000000002</v>
      </c>
      <c r="G101">
        <v>26.1584</v>
      </c>
    </row>
    <row r="102" spans="4:7" x14ac:dyDescent="0.55000000000000004">
      <c r="D102">
        <v>40</v>
      </c>
      <c r="E102">
        <v>1024</v>
      </c>
      <c r="F102">
        <v>16.541899999999998</v>
      </c>
      <c r="G102">
        <v>27.218800000000002</v>
      </c>
    </row>
    <row r="103" spans="4:7" x14ac:dyDescent="0.55000000000000004">
      <c r="D103">
        <v>40</v>
      </c>
      <c r="E103">
        <v>512</v>
      </c>
      <c r="F103">
        <v>16.684100000000001</v>
      </c>
      <c r="G103">
        <v>25.890599999999999</v>
      </c>
    </row>
    <row r="104" spans="4:7" x14ac:dyDescent="0.55000000000000004">
      <c r="D104">
        <v>40</v>
      </c>
      <c r="E104">
        <v>256</v>
      </c>
      <c r="F104">
        <v>17.941500000000001</v>
      </c>
      <c r="G104">
        <v>26.225899999999999</v>
      </c>
    </row>
  </sheetData>
  <sortState xmlns:xlrd2="http://schemas.microsoft.com/office/spreadsheetml/2017/richdata2" ref="E2:E6">
    <sortCondition descending="1" ref="E2:E6"/>
  </sortState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45A8A-C3B6-4DBC-9C2C-F51D1D86FB27}">
  <dimension ref="A1:BL93"/>
  <sheetViews>
    <sheetView topLeftCell="T31" workbookViewId="0">
      <selection activeCell="AJ52" sqref="AJ52"/>
    </sheetView>
  </sheetViews>
  <sheetFormatPr defaultRowHeight="18" x14ac:dyDescent="0.55000000000000004"/>
  <cols>
    <col min="1" max="1" width="12.25" bestFit="1" customWidth="1"/>
    <col min="2" max="2" width="11.6640625" bestFit="1" customWidth="1"/>
    <col min="3" max="3" width="9.08203125" bestFit="1" customWidth="1"/>
    <col min="4" max="4" width="15.1640625" bestFit="1" customWidth="1"/>
    <col min="5" max="5" width="9.08203125" bestFit="1" customWidth="1"/>
    <col min="6" max="6" width="16" bestFit="1" customWidth="1"/>
    <col min="7" max="7" width="29.83203125" bestFit="1" customWidth="1"/>
    <col min="8" max="8" width="15.9140625" bestFit="1" customWidth="1"/>
    <col min="9" max="9" width="29.75" bestFit="1" customWidth="1"/>
    <col min="11" max="11" width="29.6640625" bestFit="1" customWidth="1"/>
    <col min="12" max="12" width="12.25" bestFit="1" customWidth="1"/>
    <col min="13" max="13" width="11.6640625" bestFit="1" customWidth="1"/>
    <col min="14" max="14" width="9.08203125" bestFit="1" customWidth="1"/>
    <col min="15" max="15" width="6.9140625" bestFit="1" customWidth="1"/>
    <col min="16" max="16" width="8.9140625" bestFit="1" customWidth="1"/>
    <col min="17" max="17" width="16" bestFit="1" customWidth="1"/>
    <col min="18" max="18" width="29.83203125" bestFit="1" customWidth="1"/>
    <col min="19" max="19" width="15.9140625" bestFit="1" customWidth="1"/>
    <col min="20" max="20" width="29.75" bestFit="1" customWidth="1"/>
    <col min="22" max="22" width="29.6640625" bestFit="1" customWidth="1"/>
    <col min="23" max="23" width="12.25" bestFit="1" customWidth="1"/>
    <col min="24" max="24" width="11.6640625" bestFit="1" customWidth="1"/>
    <col min="25" max="25" width="9.08203125" bestFit="1" customWidth="1"/>
    <col min="26" max="26" width="6.9140625" bestFit="1" customWidth="1"/>
    <col min="27" max="27" width="8.9140625" bestFit="1" customWidth="1"/>
    <col min="28" max="28" width="16" bestFit="1" customWidth="1"/>
    <col min="29" max="29" width="29.83203125" bestFit="1" customWidth="1"/>
    <col min="30" max="30" width="15.9140625" bestFit="1" customWidth="1"/>
    <col min="31" max="31" width="29.75" bestFit="1" customWidth="1"/>
    <col min="33" max="33" width="29.6640625" bestFit="1" customWidth="1"/>
    <col min="34" max="34" width="12.25" bestFit="1" customWidth="1"/>
    <col min="35" max="35" width="11.6640625" bestFit="1" customWidth="1"/>
    <col min="36" max="36" width="9.08203125" bestFit="1" customWidth="1"/>
    <col min="37" max="37" width="6.9140625" bestFit="1" customWidth="1"/>
    <col min="38" max="38" width="8.9140625" bestFit="1" customWidth="1"/>
    <col min="39" max="39" width="16" bestFit="1" customWidth="1"/>
    <col min="40" max="40" width="29.83203125" bestFit="1" customWidth="1"/>
    <col min="41" max="41" width="15.9140625" bestFit="1" customWidth="1"/>
    <col min="42" max="42" width="29.75" bestFit="1" customWidth="1"/>
    <col min="44" max="44" width="29.6640625" bestFit="1" customWidth="1"/>
    <col min="45" max="45" width="12.25" bestFit="1" customWidth="1"/>
    <col min="46" max="46" width="11.6640625" bestFit="1" customWidth="1"/>
    <col min="47" max="47" width="9.08203125" bestFit="1" customWidth="1"/>
    <col min="48" max="48" width="6.9140625" bestFit="1" customWidth="1"/>
    <col min="49" max="49" width="8.9140625" bestFit="1" customWidth="1"/>
    <col min="50" max="50" width="16" bestFit="1" customWidth="1"/>
    <col min="51" max="51" width="29.83203125" bestFit="1" customWidth="1"/>
    <col min="52" max="52" width="15.9140625" bestFit="1" customWidth="1"/>
    <col min="53" max="53" width="29.75" bestFit="1" customWidth="1"/>
    <col min="55" max="55" width="29.6640625" bestFit="1" customWidth="1"/>
    <col min="56" max="56" width="12.25" bestFit="1" customWidth="1"/>
    <col min="57" max="57" width="11.6640625" bestFit="1" customWidth="1"/>
    <col min="58" max="58" width="9.08203125" bestFit="1" customWidth="1"/>
    <col min="59" max="59" width="6.9140625" bestFit="1" customWidth="1"/>
    <col min="60" max="60" width="8.9140625" bestFit="1" customWidth="1"/>
    <col min="61" max="61" width="16" bestFit="1" customWidth="1"/>
    <col min="62" max="62" width="29.83203125" bestFit="1" customWidth="1"/>
    <col min="63" max="63" width="15.9140625" bestFit="1" customWidth="1"/>
    <col min="64" max="64" width="29.75" bestFit="1" customWidth="1"/>
  </cols>
  <sheetData>
    <row r="1" spans="1:64" x14ac:dyDescent="0.55000000000000004">
      <c r="A1" t="s">
        <v>1</v>
      </c>
      <c r="B1" t="s">
        <v>0</v>
      </c>
      <c r="C1" t="s">
        <v>2</v>
      </c>
      <c r="D1" t="s">
        <v>6</v>
      </c>
      <c r="E1" t="s">
        <v>3</v>
      </c>
      <c r="F1" t="s">
        <v>4</v>
      </c>
      <c r="G1" t="s">
        <v>5</v>
      </c>
      <c r="H1" t="s">
        <v>7</v>
      </c>
      <c r="I1" t="s">
        <v>8</v>
      </c>
      <c r="K1" t="s">
        <v>10</v>
      </c>
      <c r="L1" t="s">
        <v>1</v>
      </c>
      <c r="M1" t="s">
        <v>0</v>
      </c>
      <c r="N1" t="s">
        <v>2</v>
      </c>
      <c r="O1" t="s">
        <v>6</v>
      </c>
      <c r="P1" t="s">
        <v>3</v>
      </c>
      <c r="Q1" t="s">
        <v>4</v>
      </c>
      <c r="R1" t="s">
        <v>5</v>
      </c>
      <c r="S1" t="s">
        <v>7</v>
      </c>
      <c r="T1" t="s">
        <v>8</v>
      </c>
      <c r="V1" t="s">
        <v>10</v>
      </c>
      <c r="W1" t="s">
        <v>1</v>
      </c>
      <c r="X1" t="s">
        <v>0</v>
      </c>
      <c r="Y1" t="s">
        <v>2</v>
      </c>
      <c r="Z1" t="s">
        <v>6</v>
      </c>
      <c r="AA1" t="s">
        <v>3</v>
      </c>
      <c r="AB1" t="s">
        <v>4</v>
      </c>
      <c r="AC1" t="s">
        <v>5</v>
      </c>
      <c r="AD1" t="s">
        <v>7</v>
      </c>
      <c r="AE1" t="s">
        <v>8</v>
      </c>
      <c r="AG1" t="s">
        <v>10</v>
      </c>
      <c r="AH1" t="s">
        <v>1</v>
      </c>
      <c r="AI1" t="s">
        <v>0</v>
      </c>
      <c r="AJ1" t="s">
        <v>2</v>
      </c>
      <c r="AK1" t="s">
        <v>6</v>
      </c>
      <c r="AL1" t="s">
        <v>3</v>
      </c>
      <c r="AM1" t="s">
        <v>4</v>
      </c>
      <c r="AN1" t="s">
        <v>5</v>
      </c>
      <c r="AO1" t="s">
        <v>7</v>
      </c>
      <c r="AP1" t="s">
        <v>8</v>
      </c>
      <c r="AR1" t="s">
        <v>10</v>
      </c>
      <c r="AS1" t="s">
        <v>1</v>
      </c>
      <c r="AT1" t="s">
        <v>0</v>
      </c>
      <c r="AU1" t="s">
        <v>2</v>
      </c>
      <c r="AV1" t="s">
        <v>6</v>
      </c>
      <c r="AW1" t="s">
        <v>3</v>
      </c>
      <c r="AX1" t="s">
        <v>4</v>
      </c>
      <c r="AY1" t="s">
        <v>5</v>
      </c>
      <c r="AZ1" t="s">
        <v>7</v>
      </c>
      <c r="BA1" t="s">
        <v>8</v>
      </c>
      <c r="BC1" t="s">
        <v>10</v>
      </c>
      <c r="BD1" t="s">
        <v>1</v>
      </c>
      <c r="BE1" t="s">
        <v>0</v>
      </c>
      <c r="BF1" t="s">
        <v>2</v>
      </c>
      <c r="BG1" t="s">
        <v>6</v>
      </c>
      <c r="BH1" t="s">
        <v>3</v>
      </c>
      <c r="BI1" t="s">
        <v>4</v>
      </c>
      <c r="BJ1" t="s">
        <v>5</v>
      </c>
      <c r="BK1" t="s">
        <v>7</v>
      </c>
      <c r="BL1" t="s">
        <v>8</v>
      </c>
    </row>
    <row r="2" spans="1:64" x14ac:dyDescent="0.55000000000000004">
      <c r="A2">
        <v>80</v>
      </c>
      <c r="B2">
        <v>128</v>
      </c>
      <c r="C2">
        <v>1024</v>
      </c>
      <c r="D2">
        <v>5</v>
      </c>
      <c r="E2">
        <v>367.91</v>
      </c>
      <c r="F2">
        <v>17.0976</v>
      </c>
      <c r="G2">
        <v>33.904200000000003</v>
      </c>
      <c r="H2">
        <f>F2/E2</f>
        <v>4.6472235057486884E-2</v>
      </c>
      <c r="I2">
        <f>G2/E2</f>
        <v>9.2153515805495911E-2</v>
      </c>
      <c r="K2" t="s">
        <v>11</v>
      </c>
      <c r="L2" s="2">
        <v>40</v>
      </c>
      <c r="M2" s="2">
        <v>64</v>
      </c>
      <c r="N2" s="2">
        <v>512</v>
      </c>
      <c r="O2" s="2">
        <v>3</v>
      </c>
      <c r="P2" s="2">
        <v>165.89</v>
      </c>
      <c r="Q2" s="2">
        <v>17.4192</v>
      </c>
      <c r="R2" s="2">
        <v>42.106000000000002</v>
      </c>
      <c r="S2" s="2">
        <f>Q2/P2</f>
        <v>0.10500452106817772</v>
      </c>
      <c r="T2" s="2">
        <f>R2/P2</f>
        <v>0.25381879558743747</v>
      </c>
      <c r="V2" t="s">
        <v>12</v>
      </c>
      <c r="W2" s="1">
        <v>80</v>
      </c>
      <c r="X2" s="1">
        <v>64</v>
      </c>
      <c r="Y2" s="1">
        <v>256</v>
      </c>
      <c r="Z2" s="1">
        <v>3</v>
      </c>
      <c r="AA2" s="1">
        <v>123.18</v>
      </c>
      <c r="AB2" s="1">
        <v>19.8827</v>
      </c>
      <c r="AC2" s="1">
        <v>27.001300000000001</v>
      </c>
      <c r="AD2" s="1">
        <f>AB2/AA2</f>
        <v>0.16141175515505762</v>
      </c>
      <c r="AE2" s="1">
        <f>AC2/AA2</f>
        <v>0.21920198084104561</v>
      </c>
      <c r="AG2" t="s">
        <v>13</v>
      </c>
      <c r="AH2" s="1">
        <v>160</v>
      </c>
      <c r="AI2" s="1">
        <v>64</v>
      </c>
      <c r="AJ2" s="1">
        <v>256</v>
      </c>
      <c r="AK2" s="1">
        <v>1</v>
      </c>
      <c r="AL2" s="1">
        <v>69.44</v>
      </c>
      <c r="AM2" s="1">
        <v>18.6431</v>
      </c>
      <c r="AN2" s="1">
        <v>28.969899999999999</v>
      </c>
      <c r="AO2" s="1">
        <f>AM2/AL2</f>
        <v>0.26847782258064518</v>
      </c>
      <c r="AP2" s="1">
        <f>AN2/AL2</f>
        <v>0.41719326036866361</v>
      </c>
      <c r="AR2" t="s">
        <v>21</v>
      </c>
      <c r="AS2" s="1">
        <v>160</v>
      </c>
      <c r="AT2" s="1">
        <v>64</v>
      </c>
      <c r="AU2" s="1">
        <v>256</v>
      </c>
      <c r="AV2" s="1">
        <v>1</v>
      </c>
      <c r="AW2" s="1">
        <v>69.44</v>
      </c>
      <c r="AX2" s="1">
        <v>18.6431</v>
      </c>
      <c r="AY2" s="1">
        <v>28.969899999999999</v>
      </c>
      <c r="AZ2" s="1">
        <f>AX2/AW2</f>
        <v>0.26847782258064518</v>
      </c>
      <c r="BA2" s="1">
        <f>AY2/AW2</f>
        <v>0.41719326036866361</v>
      </c>
      <c r="BC2" t="s">
        <v>8</v>
      </c>
      <c r="BD2" s="1">
        <v>160</v>
      </c>
      <c r="BE2" s="1">
        <v>64</v>
      </c>
      <c r="BF2" s="1">
        <v>256</v>
      </c>
      <c r="BG2" s="1">
        <v>1</v>
      </c>
      <c r="BH2" s="1">
        <v>69.44</v>
      </c>
      <c r="BI2" s="1">
        <v>18.6431</v>
      </c>
      <c r="BJ2" s="1">
        <v>28.969899999999999</v>
      </c>
      <c r="BK2" s="1">
        <f>BI2/BH2</f>
        <v>0.26847782258064518</v>
      </c>
      <c r="BL2" s="1">
        <f>BJ2/BH2</f>
        <v>0.41719326036866361</v>
      </c>
    </row>
    <row r="3" spans="1:64" x14ac:dyDescent="0.55000000000000004">
      <c r="A3">
        <v>160</v>
      </c>
      <c r="B3">
        <v>128</v>
      </c>
      <c r="C3">
        <v>1024</v>
      </c>
      <c r="D3">
        <v>5</v>
      </c>
      <c r="E3">
        <v>351.93</v>
      </c>
      <c r="F3">
        <v>17.397600000000001</v>
      </c>
      <c r="G3">
        <v>31.7164</v>
      </c>
      <c r="H3">
        <f>F3/E3</f>
        <v>4.9434830790213963E-2</v>
      </c>
      <c r="I3">
        <f>G3/E3</f>
        <v>9.0121330946495035E-2</v>
      </c>
      <c r="K3" t="s">
        <v>16</v>
      </c>
      <c r="L3" s="1">
        <v>80</v>
      </c>
      <c r="M3" s="1">
        <v>64</v>
      </c>
      <c r="N3" s="1">
        <v>256</v>
      </c>
      <c r="O3" s="1">
        <v>4</v>
      </c>
      <c r="P3" s="1">
        <v>162.34</v>
      </c>
      <c r="Q3" s="1">
        <v>19.1587</v>
      </c>
      <c r="R3" s="1">
        <v>41.773499999999999</v>
      </c>
      <c r="S3" s="1">
        <f>Q3/P3</f>
        <v>0.11801589257114697</v>
      </c>
      <c r="T3" s="1">
        <f>R3/P3</f>
        <v>0.25732105457681409</v>
      </c>
      <c r="W3" s="1">
        <v>160</v>
      </c>
      <c r="X3" s="1">
        <v>64</v>
      </c>
      <c r="Y3" s="1">
        <v>256</v>
      </c>
      <c r="Z3" s="1">
        <v>3</v>
      </c>
      <c r="AA3" s="1">
        <v>105.33</v>
      </c>
      <c r="AB3" s="1">
        <v>19.848199999999999</v>
      </c>
      <c r="AC3" s="1">
        <v>26.910799999999998</v>
      </c>
      <c r="AD3" s="1">
        <f>AB3/AA3</f>
        <v>0.18843824171651</v>
      </c>
      <c r="AE3" s="1">
        <f>AC3/AA3</f>
        <v>0.25549036361910188</v>
      </c>
      <c r="AH3" s="1">
        <v>80</v>
      </c>
      <c r="AI3" s="1">
        <v>64</v>
      </c>
      <c r="AJ3" s="1">
        <v>256</v>
      </c>
      <c r="AK3" s="1">
        <v>1</v>
      </c>
      <c r="AL3" s="1">
        <v>84.95</v>
      </c>
      <c r="AM3" s="1">
        <v>18.4267</v>
      </c>
      <c r="AN3" s="1">
        <v>28.117100000000001</v>
      </c>
      <c r="AO3" s="1">
        <f>AM3/AL3</f>
        <v>0.21691230135373749</v>
      </c>
      <c r="AP3" s="1">
        <f>AN3/AL3</f>
        <v>0.33098410829899944</v>
      </c>
      <c r="AS3" s="1">
        <v>80</v>
      </c>
      <c r="AT3" s="1">
        <v>64</v>
      </c>
      <c r="AU3" s="1">
        <v>256</v>
      </c>
      <c r="AV3" s="1">
        <v>1</v>
      </c>
      <c r="AW3" s="1">
        <v>84.95</v>
      </c>
      <c r="AX3" s="1">
        <v>18.4267</v>
      </c>
      <c r="AY3" s="1">
        <v>28.117100000000001</v>
      </c>
      <c r="AZ3" s="1">
        <f>AX3/AW3</f>
        <v>0.21691230135373749</v>
      </c>
      <c r="BA3" s="1">
        <f>AY3/AW3</f>
        <v>0.33098410829899944</v>
      </c>
      <c r="BD3" s="1">
        <v>80</v>
      </c>
      <c r="BE3" s="1">
        <v>64</v>
      </c>
      <c r="BF3" s="1">
        <v>256</v>
      </c>
      <c r="BG3" s="1">
        <v>1</v>
      </c>
      <c r="BH3" s="1">
        <v>84.95</v>
      </c>
      <c r="BI3" s="1">
        <v>18.4267</v>
      </c>
      <c r="BJ3" s="1">
        <v>28.117100000000001</v>
      </c>
      <c r="BK3" s="1">
        <f>BI3/BH3</f>
        <v>0.21691230135373749</v>
      </c>
      <c r="BL3" s="1">
        <f>BJ3/BH3</f>
        <v>0.33098410829899944</v>
      </c>
    </row>
    <row r="4" spans="1:64" x14ac:dyDescent="0.55000000000000004">
      <c r="A4">
        <v>40</v>
      </c>
      <c r="B4">
        <v>128</v>
      </c>
      <c r="C4">
        <v>1024</v>
      </c>
      <c r="D4">
        <v>5</v>
      </c>
      <c r="E4">
        <v>351.5</v>
      </c>
      <c r="F4">
        <v>17.272099999999998</v>
      </c>
      <c r="G4">
        <v>31.793500000000002</v>
      </c>
      <c r="H4">
        <f>F4/E4</f>
        <v>4.9138264580369836E-2</v>
      </c>
      <c r="I4">
        <f>G4/E4</f>
        <v>9.0450924608819344E-2</v>
      </c>
      <c r="K4" t="s">
        <v>18</v>
      </c>
      <c r="L4" s="2">
        <v>160</v>
      </c>
      <c r="M4" s="2">
        <v>64</v>
      </c>
      <c r="N4" s="2">
        <v>512</v>
      </c>
      <c r="O4" s="2">
        <v>3</v>
      </c>
      <c r="P4" s="2">
        <v>151.80000000000001</v>
      </c>
      <c r="Q4" s="2">
        <v>17.692699999999999</v>
      </c>
      <c r="R4" s="2">
        <v>41.718899999999998</v>
      </c>
      <c r="S4" s="2">
        <f>Q4/P4</f>
        <v>0.11655270092226612</v>
      </c>
      <c r="T4" s="2">
        <f>R4/P4</f>
        <v>0.2748280632411067</v>
      </c>
      <c r="W4">
        <v>80</v>
      </c>
      <c r="X4">
        <v>64</v>
      </c>
      <c r="Y4">
        <v>256</v>
      </c>
      <c r="Z4">
        <v>2</v>
      </c>
      <c r="AA4">
        <v>113.51</v>
      </c>
      <c r="AB4">
        <v>19.532299999999999</v>
      </c>
      <c r="AC4">
        <v>28.259599999999999</v>
      </c>
      <c r="AD4">
        <f>AB4/AA4</f>
        <v>0.17207558805391593</v>
      </c>
      <c r="AE4">
        <f>AC4/AA4</f>
        <v>0.24896132499339263</v>
      </c>
      <c r="AH4">
        <v>160</v>
      </c>
      <c r="AI4">
        <v>128</v>
      </c>
      <c r="AJ4">
        <v>256</v>
      </c>
      <c r="AK4">
        <v>1</v>
      </c>
      <c r="AL4">
        <v>85.96</v>
      </c>
      <c r="AM4">
        <v>18.129100000000001</v>
      </c>
      <c r="AN4">
        <v>26.043099999999999</v>
      </c>
      <c r="AO4">
        <f>AM4/AL4</f>
        <v>0.21090158213122384</v>
      </c>
      <c r="AP4">
        <f>AN4/AL4</f>
        <v>0.3029676593764542</v>
      </c>
      <c r="AS4">
        <v>160</v>
      </c>
      <c r="AT4">
        <v>128</v>
      </c>
      <c r="AU4">
        <v>256</v>
      </c>
      <c r="AV4">
        <v>1</v>
      </c>
      <c r="AW4">
        <v>85.96</v>
      </c>
      <c r="AX4">
        <v>18.129100000000001</v>
      </c>
      <c r="AY4">
        <v>26.043099999999999</v>
      </c>
      <c r="AZ4">
        <f>AX4/AW4</f>
        <v>0.21090158213122384</v>
      </c>
      <c r="BA4">
        <f>AY4/AW4</f>
        <v>0.3029676593764542</v>
      </c>
      <c r="BD4" s="1">
        <v>40</v>
      </c>
      <c r="BE4" s="1">
        <v>64</v>
      </c>
      <c r="BF4" s="1">
        <v>256</v>
      </c>
      <c r="BG4" s="1">
        <v>1</v>
      </c>
      <c r="BH4" s="1">
        <v>103.76</v>
      </c>
      <c r="BI4" s="1">
        <v>18.610800000000001</v>
      </c>
      <c r="BJ4" s="1">
        <v>32.4985</v>
      </c>
      <c r="BK4" s="1">
        <f>BI4/BH4</f>
        <v>0.17936391673091751</v>
      </c>
      <c r="BL4" s="1">
        <f>BJ4/BH4</f>
        <v>0.31320836545875097</v>
      </c>
    </row>
    <row r="5" spans="1:64" x14ac:dyDescent="0.55000000000000004">
      <c r="A5">
        <v>40</v>
      </c>
      <c r="B5">
        <v>128</v>
      </c>
      <c r="C5">
        <v>512</v>
      </c>
      <c r="D5">
        <v>5</v>
      </c>
      <c r="E5">
        <v>347.66</v>
      </c>
      <c r="F5">
        <v>17.4391</v>
      </c>
      <c r="G5">
        <v>45.413899999999998</v>
      </c>
      <c r="H5">
        <f>F5/E5</f>
        <v>5.016136455157337E-2</v>
      </c>
      <c r="I5">
        <f>G5/E5</f>
        <v>0.13062733705344301</v>
      </c>
      <c r="K5" t="s">
        <v>19</v>
      </c>
      <c r="L5" s="1">
        <v>40</v>
      </c>
      <c r="M5" s="1">
        <v>64</v>
      </c>
      <c r="N5" s="1">
        <v>256</v>
      </c>
      <c r="O5" s="1">
        <v>5</v>
      </c>
      <c r="P5" s="1">
        <v>205.23</v>
      </c>
      <c r="Q5" s="1">
        <v>18.850100000000001</v>
      </c>
      <c r="R5" s="1">
        <v>41.6676</v>
      </c>
      <c r="S5" s="1">
        <f>Q5/P5</f>
        <v>9.1848657603664188E-2</v>
      </c>
      <c r="T5" s="1">
        <f>R5/P5</f>
        <v>0.20302879695950884</v>
      </c>
      <c r="W5">
        <v>160</v>
      </c>
      <c r="X5">
        <v>128</v>
      </c>
      <c r="Y5">
        <v>256</v>
      </c>
      <c r="Z5">
        <v>3</v>
      </c>
      <c r="AA5">
        <v>136.84</v>
      </c>
      <c r="AB5">
        <v>19.5258</v>
      </c>
      <c r="AC5">
        <v>30.761600000000001</v>
      </c>
      <c r="AD5">
        <f>AB5/AA5</f>
        <v>0.14269073370359545</v>
      </c>
      <c r="AE5">
        <f>AC5/AA5</f>
        <v>0.22479976615024846</v>
      </c>
      <c r="AH5">
        <v>160</v>
      </c>
      <c r="AI5">
        <v>64</v>
      </c>
      <c r="AJ5">
        <v>256</v>
      </c>
      <c r="AK5">
        <v>2</v>
      </c>
      <c r="AL5">
        <v>96.09</v>
      </c>
      <c r="AM5">
        <v>19.5092</v>
      </c>
      <c r="AN5">
        <v>28.415099999999999</v>
      </c>
      <c r="AO5">
        <f>AM5/AL5</f>
        <v>0.20303049224685191</v>
      </c>
      <c r="AP5">
        <f>AN5/AL5</f>
        <v>0.29571339369341243</v>
      </c>
      <c r="AS5">
        <v>160</v>
      </c>
      <c r="AT5">
        <v>64</v>
      </c>
      <c r="AU5">
        <v>256</v>
      </c>
      <c r="AV5">
        <v>2</v>
      </c>
      <c r="AW5">
        <v>96.09</v>
      </c>
      <c r="AX5">
        <v>19.5092</v>
      </c>
      <c r="AY5">
        <v>28.415099999999999</v>
      </c>
      <c r="AZ5">
        <f>AX5/AW5</f>
        <v>0.20303049224685191</v>
      </c>
      <c r="BA5">
        <f>AY5/AW5</f>
        <v>0.29571339369341243</v>
      </c>
      <c r="BD5">
        <v>160</v>
      </c>
      <c r="BE5">
        <v>128</v>
      </c>
      <c r="BF5">
        <v>256</v>
      </c>
      <c r="BG5">
        <v>1</v>
      </c>
      <c r="BH5">
        <v>85.96</v>
      </c>
      <c r="BI5">
        <v>18.129100000000001</v>
      </c>
      <c r="BJ5">
        <v>26.043099999999999</v>
      </c>
      <c r="BK5">
        <f>BI5/BH5</f>
        <v>0.21090158213122384</v>
      </c>
      <c r="BL5">
        <f>BJ5/BH5</f>
        <v>0.3029676593764542</v>
      </c>
    </row>
    <row r="6" spans="1:64" x14ac:dyDescent="0.55000000000000004">
      <c r="A6">
        <v>80</v>
      </c>
      <c r="B6">
        <v>128</v>
      </c>
      <c r="C6">
        <v>512</v>
      </c>
      <c r="D6">
        <v>5</v>
      </c>
      <c r="E6">
        <v>345.74</v>
      </c>
      <c r="F6">
        <v>17.653700000000001</v>
      </c>
      <c r="G6">
        <v>44.966700000000003</v>
      </c>
      <c r="H6">
        <f>F6/E6</f>
        <v>5.1060623589980911E-2</v>
      </c>
      <c r="I6">
        <f>G6/E6</f>
        <v>0.1300592931104298</v>
      </c>
      <c r="L6" s="1">
        <v>160</v>
      </c>
      <c r="M6" s="1">
        <v>64</v>
      </c>
      <c r="N6" s="1">
        <v>256</v>
      </c>
      <c r="O6" s="1">
        <v>4</v>
      </c>
      <c r="P6" s="1">
        <v>144.80000000000001</v>
      </c>
      <c r="Q6" s="1">
        <v>19.236699999999999</v>
      </c>
      <c r="R6" s="1">
        <v>41.510899999999999</v>
      </c>
      <c r="S6" s="1">
        <f>Q6/P6</f>
        <v>0.13285013812154695</v>
      </c>
      <c r="T6" s="1">
        <f>R6/P6</f>
        <v>0.28667748618784528</v>
      </c>
      <c r="W6">
        <v>160</v>
      </c>
      <c r="X6">
        <v>64</v>
      </c>
      <c r="Y6">
        <v>256</v>
      </c>
      <c r="Z6">
        <v>2</v>
      </c>
      <c r="AA6">
        <v>96.09</v>
      </c>
      <c r="AB6">
        <v>19.5092</v>
      </c>
      <c r="AC6">
        <v>28.415099999999999</v>
      </c>
      <c r="AD6">
        <f>AB6/AA6</f>
        <v>0.20303049224685191</v>
      </c>
      <c r="AE6">
        <f>AC6/AA6</f>
        <v>0.29571339369341243</v>
      </c>
      <c r="AH6" s="1">
        <v>40</v>
      </c>
      <c r="AI6" s="1">
        <v>64</v>
      </c>
      <c r="AJ6" s="1">
        <v>256</v>
      </c>
      <c r="AK6" s="1">
        <v>1</v>
      </c>
      <c r="AL6" s="1">
        <v>103.76</v>
      </c>
      <c r="AM6" s="1">
        <v>18.610800000000001</v>
      </c>
      <c r="AN6" s="1">
        <v>32.4985</v>
      </c>
      <c r="AO6" s="1">
        <f>AM6/AL6</f>
        <v>0.17936391673091751</v>
      </c>
      <c r="AP6" s="1">
        <f>AN6/AL6</f>
        <v>0.31320836545875097</v>
      </c>
      <c r="AS6">
        <v>160</v>
      </c>
      <c r="AT6">
        <v>64</v>
      </c>
      <c r="AU6">
        <v>256</v>
      </c>
      <c r="AV6">
        <v>3</v>
      </c>
      <c r="AW6">
        <v>105.33</v>
      </c>
      <c r="AX6">
        <v>19.848199999999999</v>
      </c>
      <c r="AY6">
        <v>26.910799999999998</v>
      </c>
      <c r="AZ6">
        <f>AX6/AW6</f>
        <v>0.18843824171651</v>
      </c>
      <c r="BA6">
        <f>AY6/AW6</f>
        <v>0.25549036361910188</v>
      </c>
      <c r="BD6">
        <v>160</v>
      </c>
      <c r="BE6">
        <v>64</v>
      </c>
      <c r="BF6">
        <v>256</v>
      </c>
      <c r="BG6">
        <v>2</v>
      </c>
      <c r="BH6">
        <v>96.09</v>
      </c>
      <c r="BI6">
        <v>19.5092</v>
      </c>
      <c r="BJ6">
        <v>28.415099999999999</v>
      </c>
      <c r="BK6">
        <f>BI6/BH6</f>
        <v>0.20303049224685191</v>
      </c>
      <c r="BL6">
        <f>BJ6/BH6</f>
        <v>0.29571339369341243</v>
      </c>
    </row>
    <row r="7" spans="1:64" x14ac:dyDescent="0.55000000000000004">
      <c r="A7">
        <v>80</v>
      </c>
      <c r="B7">
        <v>128</v>
      </c>
      <c r="C7">
        <v>1024</v>
      </c>
      <c r="D7">
        <v>4</v>
      </c>
      <c r="E7">
        <v>328.45</v>
      </c>
      <c r="F7">
        <v>16.0502</v>
      </c>
      <c r="G7">
        <v>24.600100000000001</v>
      </c>
      <c r="H7">
        <f>F7/E7</f>
        <v>4.8866494139138378E-2</v>
      </c>
      <c r="I7">
        <f>G7/E7</f>
        <v>7.4897549094230478E-2</v>
      </c>
      <c r="L7">
        <v>40</v>
      </c>
      <c r="M7">
        <v>128</v>
      </c>
      <c r="N7">
        <v>256</v>
      </c>
      <c r="O7">
        <v>3</v>
      </c>
      <c r="P7">
        <v>205.25</v>
      </c>
      <c r="Q7">
        <v>18.837800000000001</v>
      </c>
      <c r="R7">
        <v>41.18</v>
      </c>
      <c r="S7">
        <f>Q7/P7</f>
        <v>9.1779780755176621E-2</v>
      </c>
      <c r="T7">
        <f>R7/P7</f>
        <v>0.20063337393422656</v>
      </c>
      <c r="W7">
        <v>160</v>
      </c>
      <c r="X7">
        <v>64</v>
      </c>
      <c r="Y7">
        <v>256</v>
      </c>
      <c r="Z7">
        <v>5</v>
      </c>
      <c r="AA7">
        <v>171.03</v>
      </c>
      <c r="AB7">
        <v>19.508299999999998</v>
      </c>
      <c r="AC7">
        <v>30.607299999999999</v>
      </c>
      <c r="AD7">
        <f>AB7/AA7</f>
        <v>0.11406361457054318</v>
      </c>
      <c r="AE7">
        <f>AC7/AA7</f>
        <v>0.1789586622230018</v>
      </c>
      <c r="AH7">
        <v>160</v>
      </c>
      <c r="AI7">
        <v>64</v>
      </c>
      <c r="AJ7">
        <v>256</v>
      </c>
      <c r="AK7">
        <v>3</v>
      </c>
      <c r="AL7">
        <v>105.33</v>
      </c>
      <c r="AM7">
        <v>19.848199999999999</v>
      </c>
      <c r="AN7">
        <v>26.910799999999998</v>
      </c>
      <c r="AO7">
        <f>AM7/AL7</f>
        <v>0.18843824171651</v>
      </c>
      <c r="AP7">
        <f>AN7/AL7</f>
        <v>0.25549036361910188</v>
      </c>
      <c r="AS7" s="1">
        <v>40</v>
      </c>
      <c r="AT7" s="1">
        <v>64</v>
      </c>
      <c r="AU7" s="1">
        <v>256</v>
      </c>
      <c r="AV7" s="1">
        <v>1</v>
      </c>
      <c r="AW7" s="1">
        <v>103.76</v>
      </c>
      <c r="AX7" s="1">
        <v>18.610800000000001</v>
      </c>
      <c r="AY7" s="1">
        <v>32.4985</v>
      </c>
      <c r="AZ7" s="1">
        <f>AX7/AW7</f>
        <v>0.17936391673091751</v>
      </c>
      <c r="BA7" s="1">
        <f>AY7/AW7</f>
        <v>0.31320836545875097</v>
      </c>
      <c r="BD7">
        <v>160</v>
      </c>
      <c r="BE7">
        <v>64</v>
      </c>
      <c r="BF7">
        <v>256</v>
      </c>
      <c r="BG7">
        <v>4</v>
      </c>
      <c r="BH7">
        <v>144.80000000000001</v>
      </c>
      <c r="BI7">
        <v>19.236699999999999</v>
      </c>
      <c r="BJ7">
        <v>41.510899999999999</v>
      </c>
      <c r="BK7">
        <f>BI7/BH7</f>
        <v>0.13285013812154695</v>
      </c>
      <c r="BL7">
        <f>BJ7/BH7</f>
        <v>0.28667748618784528</v>
      </c>
    </row>
    <row r="8" spans="1:64" x14ac:dyDescent="0.55000000000000004">
      <c r="A8">
        <v>160</v>
      </c>
      <c r="B8">
        <v>128</v>
      </c>
      <c r="C8">
        <v>512</v>
      </c>
      <c r="D8">
        <v>5</v>
      </c>
      <c r="E8">
        <v>311.47000000000003</v>
      </c>
      <c r="F8">
        <v>17.930199999999999</v>
      </c>
      <c r="G8">
        <v>30.7379</v>
      </c>
      <c r="H8">
        <f>F8/E8</f>
        <v>5.7566378784473619E-2</v>
      </c>
      <c r="I8">
        <f>G8/E8</f>
        <v>9.8686550871673023E-2</v>
      </c>
      <c r="L8">
        <v>40</v>
      </c>
      <c r="M8">
        <v>64</v>
      </c>
      <c r="N8">
        <v>256</v>
      </c>
      <c r="O8">
        <v>4</v>
      </c>
      <c r="P8">
        <v>178.76</v>
      </c>
      <c r="Q8">
        <v>18.849799999999998</v>
      </c>
      <c r="R8">
        <v>41.1295</v>
      </c>
      <c r="S8">
        <f>Q8/P8</f>
        <v>0.10544752741105393</v>
      </c>
      <c r="T8">
        <f>R8/P8</f>
        <v>0.23008223316178117</v>
      </c>
      <c r="W8">
        <v>80</v>
      </c>
      <c r="X8">
        <v>64</v>
      </c>
      <c r="Y8">
        <v>256</v>
      </c>
      <c r="Z8">
        <v>5</v>
      </c>
      <c r="AA8">
        <v>187.11</v>
      </c>
      <c r="AB8">
        <v>19.4312</v>
      </c>
      <c r="AC8">
        <v>32.311399999999999</v>
      </c>
      <c r="AD8">
        <f>AB8/AA8</f>
        <v>0.10384907273796162</v>
      </c>
      <c r="AE8">
        <f>AC8/AA8</f>
        <v>0.17268665490887711</v>
      </c>
      <c r="AH8">
        <v>80</v>
      </c>
      <c r="AI8">
        <v>64</v>
      </c>
      <c r="AJ8">
        <v>256</v>
      </c>
      <c r="AK8">
        <v>2</v>
      </c>
      <c r="AL8">
        <v>113.51</v>
      </c>
      <c r="AM8">
        <v>19.532299999999999</v>
      </c>
      <c r="AN8">
        <v>28.259599999999999</v>
      </c>
      <c r="AO8">
        <f>AM8/AL8</f>
        <v>0.17207558805391593</v>
      </c>
      <c r="AP8">
        <f>AN8/AL8</f>
        <v>0.24896132499339263</v>
      </c>
      <c r="AS8">
        <v>80</v>
      </c>
      <c r="AT8">
        <v>64</v>
      </c>
      <c r="AU8">
        <v>256</v>
      </c>
      <c r="AV8">
        <v>2</v>
      </c>
      <c r="AW8">
        <v>113.51</v>
      </c>
      <c r="AX8">
        <v>19.532299999999999</v>
      </c>
      <c r="AY8">
        <v>28.259599999999999</v>
      </c>
      <c r="AZ8">
        <f>AX8/AW8</f>
        <v>0.17207558805391593</v>
      </c>
      <c r="BA8">
        <f>AY8/AW8</f>
        <v>0.24896132499339263</v>
      </c>
      <c r="BD8">
        <v>160</v>
      </c>
      <c r="BE8">
        <v>128</v>
      </c>
      <c r="BF8">
        <v>256</v>
      </c>
      <c r="BG8">
        <v>2</v>
      </c>
      <c r="BH8">
        <v>119.22</v>
      </c>
      <c r="BI8">
        <v>19.009899999999998</v>
      </c>
      <c r="BJ8">
        <v>33.094200000000001</v>
      </c>
      <c r="BK8">
        <f>BI8/BH8</f>
        <v>0.15945227310853882</v>
      </c>
      <c r="BL8">
        <f>BJ8/BH8</f>
        <v>0.27758933064921992</v>
      </c>
    </row>
    <row r="9" spans="1:64" x14ac:dyDescent="0.55000000000000004">
      <c r="A9">
        <v>40</v>
      </c>
      <c r="B9">
        <v>128</v>
      </c>
      <c r="C9">
        <v>1024</v>
      </c>
      <c r="D9">
        <v>4</v>
      </c>
      <c r="E9">
        <v>310.75</v>
      </c>
      <c r="F9">
        <v>16.060300000000002</v>
      </c>
      <c r="G9">
        <v>24.615100000000002</v>
      </c>
      <c r="H9">
        <f>F9/E9</f>
        <v>5.1682381335478686E-2</v>
      </c>
      <c r="I9">
        <f>G9/E9</f>
        <v>7.9211906677393404E-2</v>
      </c>
      <c r="L9" s="3">
        <v>40</v>
      </c>
      <c r="M9" s="3">
        <v>64</v>
      </c>
      <c r="N9" s="3">
        <v>1024</v>
      </c>
      <c r="O9" s="3">
        <v>2</v>
      </c>
      <c r="P9" s="3">
        <v>156.75</v>
      </c>
      <c r="Q9" s="3">
        <v>16.9236</v>
      </c>
      <c r="R9" s="3">
        <v>37.175600000000003</v>
      </c>
      <c r="S9" s="3">
        <f>Q9/P9</f>
        <v>0.10796555023923446</v>
      </c>
      <c r="T9" s="3">
        <f>R9/P9</f>
        <v>0.23716491228070177</v>
      </c>
      <c r="W9">
        <v>80</v>
      </c>
      <c r="X9">
        <v>128</v>
      </c>
      <c r="Y9">
        <v>256</v>
      </c>
      <c r="Z9">
        <v>3</v>
      </c>
      <c r="AA9">
        <v>173.58</v>
      </c>
      <c r="AB9">
        <v>19.424900000000001</v>
      </c>
      <c r="AC9">
        <v>32.217399999999998</v>
      </c>
      <c r="AD9">
        <f>AB9/AA9</f>
        <v>0.11190747782002534</v>
      </c>
      <c r="AE9">
        <f>AC9/AA9</f>
        <v>0.18560548450282288</v>
      </c>
      <c r="AH9" s="2">
        <v>160</v>
      </c>
      <c r="AI9" s="2">
        <v>64</v>
      </c>
      <c r="AJ9" s="2">
        <v>512</v>
      </c>
      <c r="AK9" s="2">
        <v>1</v>
      </c>
      <c r="AL9" s="2">
        <v>116.54</v>
      </c>
      <c r="AM9" s="2">
        <v>18.278500000000001</v>
      </c>
      <c r="AN9" s="2">
        <v>23.447900000000001</v>
      </c>
      <c r="AO9" s="2">
        <f>AM9/AL9</f>
        <v>0.1568431439848979</v>
      </c>
      <c r="AP9" s="2">
        <f>AN9/AL9</f>
        <v>0.20120044619873004</v>
      </c>
      <c r="AS9">
        <v>80</v>
      </c>
      <c r="AT9">
        <v>64</v>
      </c>
      <c r="AU9">
        <v>256</v>
      </c>
      <c r="AV9">
        <v>3</v>
      </c>
      <c r="AW9">
        <v>123.18</v>
      </c>
      <c r="AX9">
        <v>19.8827</v>
      </c>
      <c r="AY9">
        <v>27.001300000000001</v>
      </c>
      <c r="AZ9">
        <f>AX9/AW9</f>
        <v>0.16141175515505762</v>
      </c>
      <c r="BA9">
        <f>AY9/AW9</f>
        <v>0.21920198084104561</v>
      </c>
      <c r="BD9">
        <v>40</v>
      </c>
      <c r="BE9">
        <v>64</v>
      </c>
      <c r="BF9">
        <v>256</v>
      </c>
      <c r="BG9">
        <v>2</v>
      </c>
      <c r="BH9">
        <v>128.44999999999999</v>
      </c>
      <c r="BI9">
        <v>18.742000000000001</v>
      </c>
      <c r="BJ9">
        <v>35.345399999999998</v>
      </c>
      <c r="BK9">
        <f>BI9/BH9</f>
        <v>0.14590891397430908</v>
      </c>
      <c r="BL9">
        <f>BJ9/BH9</f>
        <v>0.27516854807318025</v>
      </c>
    </row>
    <row r="10" spans="1:64" x14ac:dyDescent="0.55000000000000004">
      <c r="A10">
        <v>40</v>
      </c>
      <c r="B10">
        <v>128</v>
      </c>
      <c r="C10">
        <v>512</v>
      </c>
      <c r="D10">
        <v>4</v>
      </c>
      <c r="E10">
        <v>310.20999999999998</v>
      </c>
      <c r="F10">
        <v>17.755099999999999</v>
      </c>
      <c r="G10">
        <v>29.595400000000001</v>
      </c>
      <c r="H10">
        <f>F10/E10</f>
        <v>5.7235743528577417E-2</v>
      </c>
      <c r="I10">
        <f>G10/E10</f>
        <v>9.5404403468618046E-2</v>
      </c>
      <c r="L10">
        <v>40</v>
      </c>
      <c r="M10">
        <v>64</v>
      </c>
      <c r="N10">
        <v>256</v>
      </c>
      <c r="O10">
        <v>2</v>
      </c>
      <c r="P10">
        <v>128.44999999999999</v>
      </c>
      <c r="Q10">
        <v>18.742000000000001</v>
      </c>
      <c r="R10">
        <v>35.345399999999998</v>
      </c>
      <c r="S10">
        <f>Q10/P10</f>
        <v>0.14590891397430908</v>
      </c>
      <c r="T10">
        <f>R10/P10</f>
        <v>0.27516854807318025</v>
      </c>
      <c r="W10">
        <v>160</v>
      </c>
      <c r="X10">
        <v>64</v>
      </c>
      <c r="Y10">
        <v>256</v>
      </c>
      <c r="Z10">
        <v>4</v>
      </c>
      <c r="AA10">
        <v>144.80000000000001</v>
      </c>
      <c r="AB10">
        <v>19.236699999999999</v>
      </c>
      <c r="AC10">
        <v>41.510899999999999</v>
      </c>
      <c r="AD10">
        <f>AB10/AA10</f>
        <v>0.13285013812154695</v>
      </c>
      <c r="AE10">
        <f>AC10/AA10</f>
        <v>0.28667748618784528</v>
      </c>
      <c r="AH10">
        <v>80</v>
      </c>
      <c r="AI10">
        <v>128</v>
      </c>
      <c r="AJ10">
        <v>256</v>
      </c>
      <c r="AK10">
        <v>1</v>
      </c>
      <c r="AL10">
        <v>119.17</v>
      </c>
      <c r="AM10">
        <v>18.437999999999999</v>
      </c>
      <c r="AN10">
        <v>28.174399999999999</v>
      </c>
      <c r="AO10">
        <f>AM10/AL10</f>
        <v>0.15472014768817655</v>
      </c>
      <c r="AP10">
        <f>AN10/AL10</f>
        <v>0.23642191826802045</v>
      </c>
      <c r="AS10">
        <v>160</v>
      </c>
      <c r="AT10">
        <v>128</v>
      </c>
      <c r="AU10">
        <v>256</v>
      </c>
      <c r="AV10">
        <v>2</v>
      </c>
      <c r="AW10">
        <v>119.22</v>
      </c>
      <c r="AX10">
        <v>19.009899999999998</v>
      </c>
      <c r="AY10">
        <v>33.094200000000001</v>
      </c>
      <c r="AZ10">
        <f>AX10/AW10</f>
        <v>0.15945227310853882</v>
      </c>
      <c r="BA10">
        <f>AY10/AW10</f>
        <v>0.27758933064921992</v>
      </c>
      <c r="BD10" s="2">
        <v>160</v>
      </c>
      <c r="BE10" s="2">
        <v>64</v>
      </c>
      <c r="BF10" s="2">
        <v>512</v>
      </c>
      <c r="BG10" s="2">
        <v>3</v>
      </c>
      <c r="BH10" s="2">
        <v>151.80000000000001</v>
      </c>
      <c r="BI10" s="2">
        <v>17.692699999999999</v>
      </c>
      <c r="BJ10" s="2">
        <v>41.718899999999998</v>
      </c>
      <c r="BK10" s="2">
        <f>BI10/BH10</f>
        <v>0.11655270092226612</v>
      </c>
      <c r="BL10" s="2">
        <f>BJ10/BH10</f>
        <v>0.2748280632411067</v>
      </c>
    </row>
    <row r="11" spans="1:64" x14ac:dyDescent="0.55000000000000004">
      <c r="A11">
        <v>160</v>
      </c>
      <c r="B11">
        <v>128</v>
      </c>
      <c r="C11">
        <v>1024</v>
      </c>
      <c r="D11">
        <v>4</v>
      </c>
      <c r="E11">
        <v>309.67</v>
      </c>
      <c r="F11">
        <v>16.075099999999999</v>
      </c>
      <c r="G11">
        <v>23.868400000000001</v>
      </c>
      <c r="H11">
        <f>F11/E11</f>
        <v>5.1910420770497623E-2</v>
      </c>
      <c r="I11">
        <f>G11/E11</f>
        <v>7.707688830044887E-2</v>
      </c>
      <c r="L11" s="3">
        <v>160</v>
      </c>
      <c r="M11" s="3">
        <v>64</v>
      </c>
      <c r="N11" s="3">
        <v>1024</v>
      </c>
      <c r="O11" s="3">
        <v>2</v>
      </c>
      <c r="P11" s="3">
        <v>156.07</v>
      </c>
      <c r="Q11" s="3">
        <v>17.123200000000001</v>
      </c>
      <c r="R11" s="3">
        <v>34.868099999999998</v>
      </c>
      <c r="S11" s="3">
        <f>Q11/P11</f>
        <v>0.10971487153200488</v>
      </c>
      <c r="T11" s="3">
        <f>R11/P11</f>
        <v>0.22341321202024733</v>
      </c>
      <c r="W11">
        <v>80</v>
      </c>
      <c r="X11">
        <v>64</v>
      </c>
      <c r="Y11">
        <v>256</v>
      </c>
      <c r="Z11">
        <v>4</v>
      </c>
      <c r="AA11">
        <v>162.34</v>
      </c>
      <c r="AB11">
        <v>19.1587</v>
      </c>
      <c r="AC11">
        <v>41.773499999999999</v>
      </c>
      <c r="AD11">
        <f>AB11/AA11</f>
        <v>0.11801589257114697</v>
      </c>
      <c r="AE11">
        <f>AC11/AA11</f>
        <v>0.25732105457681409</v>
      </c>
      <c r="AH11">
        <v>160</v>
      </c>
      <c r="AI11">
        <v>128</v>
      </c>
      <c r="AJ11">
        <v>256</v>
      </c>
      <c r="AK11">
        <v>2</v>
      </c>
      <c r="AL11">
        <v>119.22</v>
      </c>
      <c r="AM11">
        <v>19.009899999999998</v>
      </c>
      <c r="AN11">
        <v>33.094200000000001</v>
      </c>
      <c r="AO11">
        <f>AM11/AL11</f>
        <v>0.15945227310853882</v>
      </c>
      <c r="AP11">
        <f>AN11/AL11</f>
        <v>0.27758933064921992</v>
      </c>
      <c r="AS11" s="2">
        <v>160</v>
      </c>
      <c r="AT11" s="2">
        <v>64</v>
      </c>
      <c r="AU11" s="2">
        <v>512</v>
      </c>
      <c r="AV11" s="2">
        <v>1</v>
      </c>
      <c r="AW11" s="2">
        <v>116.54</v>
      </c>
      <c r="AX11" s="2">
        <v>18.278500000000001</v>
      </c>
      <c r="AY11" s="2">
        <v>23.447900000000001</v>
      </c>
      <c r="AZ11" s="2">
        <f>AX11/AW11</f>
        <v>0.1568431439848979</v>
      </c>
      <c r="BA11" s="2">
        <f>AY11/AW11</f>
        <v>0.20120044619873004</v>
      </c>
      <c r="BD11">
        <v>80</v>
      </c>
      <c r="BE11">
        <v>64</v>
      </c>
      <c r="BF11">
        <v>256</v>
      </c>
      <c r="BG11">
        <v>4</v>
      </c>
      <c r="BH11">
        <v>162.34</v>
      </c>
      <c r="BI11">
        <v>19.1587</v>
      </c>
      <c r="BJ11">
        <v>41.773499999999999</v>
      </c>
      <c r="BK11">
        <f>BI11/BH11</f>
        <v>0.11801589257114697</v>
      </c>
      <c r="BL11">
        <f>BJ11/BH11</f>
        <v>0.25732105457681409</v>
      </c>
    </row>
    <row r="12" spans="1:64" x14ac:dyDescent="0.55000000000000004">
      <c r="A12">
        <v>80</v>
      </c>
      <c r="B12">
        <v>128</v>
      </c>
      <c r="C12">
        <v>512</v>
      </c>
      <c r="D12">
        <v>4</v>
      </c>
      <c r="E12">
        <v>307.17</v>
      </c>
      <c r="F12">
        <v>17.799299999999999</v>
      </c>
      <c r="G12">
        <v>32.121099999999998</v>
      </c>
      <c r="H12">
        <f>F12/E12</f>
        <v>5.7946088485203627E-2</v>
      </c>
      <c r="I12">
        <f>G12/E12</f>
        <v>0.10457108441579581</v>
      </c>
      <c r="L12" s="2">
        <v>80</v>
      </c>
      <c r="M12" s="2">
        <v>64</v>
      </c>
      <c r="N12" s="2">
        <v>512</v>
      </c>
      <c r="O12" s="2">
        <v>3</v>
      </c>
      <c r="P12" s="2">
        <v>165.61</v>
      </c>
      <c r="Q12" s="2">
        <v>17.428599999999999</v>
      </c>
      <c r="R12" s="2">
        <v>33.710799999999999</v>
      </c>
      <c r="S12" s="2">
        <f>Q12/P12</f>
        <v>0.10523881408127528</v>
      </c>
      <c r="T12" s="2">
        <f>R12/P12</f>
        <v>0.20355534086105909</v>
      </c>
      <c r="W12">
        <v>160</v>
      </c>
      <c r="X12">
        <v>128</v>
      </c>
      <c r="Y12">
        <v>256</v>
      </c>
      <c r="Z12">
        <v>2</v>
      </c>
      <c r="AA12">
        <v>119.22</v>
      </c>
      <c r="AB12">
        <v>19.009899999999998</v>
      </c>
      <c r="AC12">
        <v>33.094200000000001</v>
      </c>
      <c r="AD12">
        <f>AB12/AA12</f>
        <v>0.15945227310853882</v>
      </c>
      <c r="AE12">
        <f>AC12/AA12</f>
        <v>0.27758933064921992</v>
      </c>
      <c r="AH12">
        <v>80</v>
      </c>
      <c r="AI12">
        <v>64</v>
      </c>
      <c r="AJ12">
        <v>256</v>
      </c>
      <c r="AK12">
        <v>3</v>
      </c>
      <c r="AL12">
        <v>123.18</v>
      </c>
      <c r="AM12">
        <v>19.8827</v>
      </c>
      <c r="AN12">
        <v>27.001300000000001</v>
      </c>
      <c r="AO12">
        <f>AM12/AL12</f>
        <v>0.16141175515505762</v>
      </c>
      <c r="AP12">
        <f>AN12/AL12</f>
        <v>0.21920198084104561</v>
      </c>
      <c r="AS12">
        <v>80</v>
      </c>
      <c r="AT12">
        <v>128</v>
      </c>
      <c r="AU12">
        <v>256</v>
      </c>
      <c r="AV12">
        <v>1</v>
      </c>
      <c r="AW12">
        <v>119.17</v>
      </c>
      <c r="AX12">
        <v>18.437999999999999</v>
      </c>
      <c r="AY12">
        <v>28.174399999999999</v>
      </c>
      <c r="AZ12">
        <f>AX12/AW12</f>
        <v>0.15472014768817655</v>
      </c>
      <c r="BA12">
        <f>AY12/AW12</f>
        <v>0.23642191826802045</v>
      </c>
      <c r="BD12">
        <v>160</v>
      </c>
      <c r="BE12">
        <v>64</v>
      </c>
      <c r="BF12">
        <v>256</v>
      </c>
      <c r="BG12">
        <v>3</v>
      </c>
      <c r="BH12">
        <v>105.33</v>
      </c>
      <c r="BI12">
        <v>19.848199999999999</v>
      </c>
      <c r="BJ12">
        <v>26.910799999999998</v>
      </c>
      <c r="BK12">
        <f>BI12/BH12</f>
        <v>0.18843824171651</v>
      </c>
      <c r="BL12">
        <f>BJ12/BH12</f>
        <v>0.25549036361910188</v>
      </c>
    </row>
    <row r="13" spans="1:64" x14ac:dyDescent="0.55000000000000004">
      <c r="A13">
        <v>40</v>
      </c>
      <c r="B13">
        <v>128</v>
      </c>
      <c r="C13">
        <v>256</v>
      </c>
      <c r="D13">
        <v>5</v>
      </c>
      <c r="E13">
        <v>297.12</v>
      </c>
      <c r="F13">
        <v>18.856999999999999</v>
      </c>
      <c r="G13">
        <v>44.321599999999997</v>
      </c>
      <c r="H13">
        <f>F13/E13</f>
        <v>6.3465939687668282E-2</v>
      </c>
      <c r="I13">
        <f>G13/E13</f>
        <v>0.14917070543887989</v>
      </c>
      <c r="L13">
        <v>40</v>
      </c>
      <c r="M13">
        <v>64</v>
      </c>
      <c r="N13">
        <v>256</v>
      </c>
      <c r="O13">
        <v>3</v>
      </c>
      <c r="P13">
        <v>140.19</v>
      </c>
      <c r="Q13">
        <v>18.872199999999999</v>
      </c>
      <c r="R13">
        <v>33.431899999999999</v>
      </c>
      <c r="S13">
        <f>Q13/P13</f>
        <v>0.13461873172123545</v>
      </c>
      <c r="T13">
        <f>R13/P13</f>
        <v>0.23847564020258222</v>
      </c>
      <c r="W13">
        <v>80</v>
      </c>
      <c r="X13">
        <v>128</v>
      </c>
      <c r="Y13">
        <v>256</v>
      </c>
      <c r="Z13">
        <v>2</v>
      </c>
      <c r="AA13">
        <v>155.33000000000001</v>
      </c>
      <c r="AB13">
        <v>18.946000000000002</v>
      </c>
      <c r="AC13">
        <v>33.285400000000003</v>
      </c>
      <c r="AD13">
        <f>AB13/AA13</f>
        <v>0.1219725745187665</v>
      </c>
      <c r="AE13">
        <f>AC13/AA13</f>
        <v>0.21428828944827141</v>
      </c>
      <c r="AH13" s="2">
        <v>80</v>
      </c>
      <c r="AI13" s="2">
        <v>64</v>
      </c>
      <c r="AJ13" s="2">
        <v>512</v>
      </c>
      <c r="AK13" s="2">
        <v>1</v>
      </c>
      <c r="AL13" s="2">
        <v>126.16</v>
      </c>
      <c r="AM13" s="2">
        <v>18.2881</v>
      </c>
      <c r="AN13" s="2">
        <v>23.6706</v>
      </c>
      <c r="AO13" s="2">
        <f>AM13/AL13</f>
        <v>0.14495957514267596</v>
      </c>
      <c r="AP13" s="2">
        <f>AN13/AL13</f>
        <v>0.18762365250475588</v>
      </c>
      <c r="AS13">
        <v>40</v>
      </c>
      <c r="AT13">
        <v>64</v>
      </c>
      <c r="AU13">
        <v>256</v>
      </c>
      <c r="AV13">
        <v>2</v>
      </c>
      <c r="AW13">
        <v>128.44999999999999</v>
      </c>
      <c r="AX13">
        <v>18.742000000000001</v>
      </c>
      <c r="AY13">
        <v>35.345399999999998</v>
      </c>
      <c r="AZ13">
        <f>AX13/AW13</f>
        <v>0.14590891397430908</v>
      </c>
      <c r="BA13">
        <f>AY13/AW13</f>
        <v>0.27516854807318025</v>
      </c>
      <c r="BD13" s="2">
        <v>40</v>
      </c>
      <c r="BE13" s="2">
        <v>64</v>
      </c>
      <c r="BF13" s="2">
        <v>512</v>
      </c>
      <c r="BG13" s="2">
        <v>3</v>
      </c>
      <c r="BH13" s="2">
        <v>165.89</v>
      </c>
      <c r="BI13" s="2">
        <v>17.4192</v>
      </c>
      <c r="BJ13" s="2">
        <v>42.106000000000002</v>
      </c>
      <c r="BK13" s="2">
        <f>BI13/BH13</f>
        <v>0.10500452106817772</v>
      </c>
      <c r="BL13" s="2">
        <f>BJ13/BH13</f>
        <v>0.25381879558743747</v>
      </c>
    </row>
    <row r="14" spans="1:64" x14ac:dyDescent="0.55000000000000004">
      <c r="A14">
        <v>80</v>
      </c>
      <c r="B14">
        <v>128</v>
      </c>
      <c r="C14">
        <v>1024</v>
      </c>
      <c r="D14">
        <v>3</v>
      </c>
      <c r="E14">
        <v>278.56</v>
      </c>
      <c r="F14">
        <v>16.828600000000002</v>
      </c>
      <c r="G14">
        <v>33.760100000000001</v>
      </c>
      <c r="H14">
        <f>F14/E14</f>
        <v>6.0412837449741533E-2</v>
      </c>
      <c r="I14">
        <f>G14/E14</f>
        <v>0.12119507466973005</v>
      </c>
      <c r="L14">
        <v>80</v>
      </c>
      <c r="M14">
        <v>128</v>
      </c>
      <c r="N14">
        <v>256</v>
      </c>
      <c r="O14">
        <v>2</v>
      </c>
      <c r="P14">
        <v>155.33000000000001</v>
      </c>
      <c r="Q14">
        <v>18.946000000000002</v>
      </c>
      <c r="R14">
        <v>33.285400000000003</v>
      </c>
      <c r="S14">
        <f>Q14/P14</f>
        <v>0.1219725745187665</v>
      </c>
      <c r="T14">
        <f>R14/P14</f>
        <v>0.21428828944827141</v>
      </c>
      <c r="W14" s="1">
        <v>40</v>
      </c>
      <c r="X14" s="1">
        <v>64</v>
      </c>
      <c r="Y14" s="1">
        <v>256</v>
      </c>
      <c r="Z14" s="1">
        <v>3</v>
      </c>
      <c r="AA14" s="1">
        <v>140.19</v>
      </c>
      <c r="AB14" s="1">
        <v>18.872199999999999</v>
      </c>
      <c r="AC14" s="1">
        <v>33.431899999999999</v>
      </c>
      <c r="AD14" s="1">
        <f>AB14/AA14</f>
        <v>0.13461873172123545</v>
      </c>
      <c r="AE14" s="1">
        <f>AC14/AA14</f>
        <v>0.23847564020258222</v>
      </c>
      <c r="AH14">
        <v>160</v>
      </c>
      <c r="AI14">
        <v>64</v>
      </c>
      <c r="AJ14">
        <v>1024</v>
      </c>
      <c r="AK14">
        <v>1</v>
      </c>
      <c r="AL14">
        <v>127.51</v>
      </c>
      <c r="AM14">
        <v>15.9217</v>
      </c>
      <c r="AN14">
        <v>23.3307</v>
      </c>
      <c r="AO14">
        <f>AM14/AL14</f>
        <v>0.12486628499725511</v>
      </c>
      <c r="AP14">
        <f>AN14/AL14</f>
        <v>0.18297153164457688</v>
      </c>
      <c r="AS14" s="2">
        <v>80</v>
      </c>
      <c r="AT14" s="2">
        <v>64</v>
      </c>
      <c r="AU14" s="2">
        <v>512</v>
      </c>
      <c r="AV14" s="2">
        <v>1</v>
      </c>
      <c r="AW14" s="2">
        <v>126.16</v>
      </c>
      <c r="AX14" s="2">
        <v>18.2881</v>
      </c>
      <c r="AY14" s="2">
        <v>23.6706</v>
      </c>
      <c r="AZ14" s="2">
        <f>AX14/AW14</f>
        <v>0.14495957514267596</v>
      </c>
      <c r="BA14" s="2">
        <f>AY14/AW14</f>
        <v>0.18762365250475588</v>
      </c>
      <c r="BD14">
        <v>80</v>
      </c>
      <c r="BE14">
        <v>64</v>
      </c>
      <c r="BF14">
        <v>256</v>
      </c>
      <c r="BG14">
        <v>2</v>
      </c>
      <c r="BH14">
        <v>113.51</v>
      </c>
      <c r="BI14">
        <v>19.532299999999999</v>
      </c>
      <c r="BJ14">
        <v>28.259599999999999</v>
      </c>
      <c r="BK14">
        <f>BI14/BH14</f>
        <v>0.17207558805391593</v>
      </c>
      <c r="BL14">
        <f>BJ14/BH14</f>
        <v>0.24896132499339263</v>
      </c>
    </row>
    <row r="15" spans="1:64" x14ac:dyDescent="0.55000000000000004">
      <c r="A15">
        <v>160</v>
      </c>
      <c r="B15">
        <v>128</v>
      </c>
      <c r="C15">
        <v>512</v>
      </c>
      <c r="D15">
        <v>4</v>
      </c>
      <c r="E15">
        <v>275.49</v>
      </c>
      <c r="F15">
        <v>17.910399999999999</v>
      </c>
      <c r="G15">
        <v>30.497800000000002</v>
      </c>
      <c r="H15">
        <f>F15/E15</f>
        <v>6.5012886130168063E-2</v>
      </c>
      <c r="I15">
        <f>G15/E15</f>
        <v>0.11070383679988384</v>
      </c>
      <c r="L15">
        <v>160</v>
      </c>
      <c r="M15">
        <v>128</v>
      </c>
      <c r="N15">
        <v>256</v>
      </c>
      <c r="O15">
        <v>2</v>
      </c>
      <c r="P15">
        <v>119.22</v>
      </c>
      <c r="Q15">
        <v>19.009899999999998</v>
      </c>
      <c r="R15">
        <v>33.094200000000001</v>
      </c>
      <c r="S15">
        <f>Q15/P15</f>
        <v>0.15945227310853882</v>
      </c>
      <c r="T15">
        <f>R15/P15</f>
        <v>0.27758933064921992</v>
      </c>
      <c r="W15">
        <v>40</v>
      </c>
      <c r="X15">
        <v>64</v>
      </c>
      <c r="Y15">
        <v>256</v>
      </c>
      <c r="Z15">
        <v>5</v>
      </c>
      <c r="AA15">
        <v>205.23</v>
      </c>
      <c r="AB15">
        <v>18.850100000000001</v>
      </c>
      <c r="AC15">
        <v>41.6676</v>
      </c>
      <c r="AD15">
        <f>AB15/AA15</f>
        <v>9.1848657603664188E-2</v>
      </c>
      <c r="AE15">
        <f>AC15/AA15</f>
        <v>0.20302879695950884</v>
      </c>
      <c r="AH15" s="2">
        <v>40</v>
      </c>
      <c r="AI15" s="2">
        <v>64</v>
      </c>
      <c r="AJ15" s="2">
        <v>512</v>
      </c>
      <c r="AK15" s="2">
        <v>1</v>
      </c>
      <c r="AL15" s="2">
        <v>128.19</v>
      </c>
      <c r="AM15" s="2">
        <v>18.495699999999999</v>
      </c>
      <c r="AN15" s="2">
        <v>22.565000000000001</v>
      </c>
      <c r="AO15" s="2">
        <f>AM15/AL15</f>
        <v>0.14428348545128325</v>
      </c>
      <c r="AP15" s="2">
        <f>AN15/AL15</f>
        <v>0.17602777127701069</v>
      </c>
      <c r="AS15" s="2">
        <v>40</v>
      </c>
      <c r="AT15" s="2">
        <v>64</v>
      </c>
      <c r="AU15" s="2">
        <v>512</v>
      </c>
      <c r="AV15" s="2">
        <v>1</v>
      </c>
      <c r="AW15" s="2">
        <v>128.19</v>
      </c>
      <c r="AX15" s="2">
        <v>18.495699999999999</v>
      </c>
      <c r="AY15" s="2">
        <v>22.565000000000001</v>
      </c>
      <c r="AZ15" s="2">
        <f>AX15/AW15</f>
        <v>0.14428348545128325</v>
      </c>
      <c r="BA15" s="2">
        <f>AY15/AW15</f>
        <v>0.17602777127701069</v>
      </c>
      <c r="BD15">
        <v>40</v>
      </c>
      <c r="BE15">
        <v>64</v>
      </c>
      <c r="BF15">
        <v>256</v>
      </c>
      <c r="BG15">
        <v>3</v>
      </c>
      <c r="BH15">
        <v>140.19</v>
      </c>
      <c r="BI15">
        <v>18.872199999999999</v>
      </c>
      <c r="BJ15">
        <v>33.431899999999999</v>
      </c>
      <c r="BK15">
        <f>BI15/BH15</f>
        <v>0.13461873172123545</v>
      </c>
      <c r="BL15">
        <f>BJ15/BH15</f>
        <v>0.23847564020258222</v>
      </c>
    </row>
    <row r="16" spans="1:64" x14ac:dyDescent="0.55000000000000004">
      <c r="A16">
        <v>80</v>
      </c>
      <c r="B16">
        <v>128</v>
      </c>
      <c r="C16">
        <v>256</v>
      </c>
      <c r="D16">
        <v>5</v>
      </c>
      <c r="E16">
        <v>262.83999999999997</v>
      </c>
      <c r="F16">
        <v>18.883400000000002</v>
      </c>
      <c r="G16">
        <v>32.452199999999998</v>
      </c>
      <c r="H16">
        <f>F16/E16</f>
        <v>7.1843707198295553E-2</v>
      </c>
      <c r="I16">
        <f>G16/E16</f>
        <v>0.12346750875057069</v>
      </c>
      <c r="L16">
        <v>40</v>
      </c>
      <c r="M16">
        <v>128</v>
      </c>
      <c r="N16">
        <v>256</v>
      </c>
      <c r="O16">
        <v>2</v>
      </c>
      <c r="P16">
        <v>186.56</v>
      </c>
      <c r="Q16">
        <v>18.637799999999999</v>
      </c>
      <c r="R16">
        <v>32.9953</v>
      </c>
      <c r="S16">
        <f>Q16/P16</f>
        <v>9.9902444253859343E-2</v>
      </c>
      <c r="T16">
        <f>R16/P16</f>
        <v>0.17686159948542024</v>
      </c>
      <c r="W16">
        <v>40</v>
      </c>
      <c r="X16">
        <v>64</v>
      </c>
      <c r="Y16">
        <v>256</v>
      </c>
      <c r="Z16">
        <v>4</v>
      </c>
      <c r="AA16">
        <v>178.76</v>
      </c>
      <c r="AB16">
        <v>18.849799999999998</v>
      </c>
      <c r="AC16">
        <v>41.1295</v>
      </c>
      <c r="AD16">
        <f>AB16/AA16</f>
        <v>0.10544752741105393</v>
      </c>
      <c r="AE16">
        <f>AC16/AA16</f>
        <v>0.23008223316178117</v>
      </c>
      <c r="AH16">
        <v>40</v>
      </c>
      <c r="AI16">
        <v>64</v>
      </c>
      <c r="AJ16">
        <v>256</v>
      </c>
      <c r="AK16">
        <v>2</v>
      </c>
      <c r="AL16">
        <v>128.44999999999999</v>
      </c>
      <c r="AM16">
        <v>18.742000000000001</v>
      </c>
      <c r="AN16">
        <v>35.345399999999998</v>
      </c>
      <c r="AO16">
        <f>AM16/AL16</f>
        <v>0.14590891397430908</v>
      </c>
      <c r="AP16">
        <f>AN16/AL16</f>
        <v>0.27516854807318025</v>
      </c>
      <c r="AS16">
        <v>160</v>
      </c>
      <c r="AT16">
        <v>128</v>
      </c>
      <c r="AU16">
        <v>256</v>
      </c>
      <c r="AV16">
        <v>3</v>
      </c>
      <c r="AW16">
        <v>136.84</v>
      </c>
      <c r="AX16">
        <v>19.5258</v>
      </c>
      <c r="AY16">
        <v>30.761600000000001</v>
      </c>
      <c r="AZ16">
        <f>AX16/AW16</f>
        <v>0.14269073370359545</v>
      </c>
      <c r="BA16">
        <f>AY16/AW16</f>
        <v>0.22479976615024846</v>
      </c>
      <c r="BD16" s="3">
        <v>40</v>
      </c>
      <c r="BE16" s="3">
        <v>64</v>
      </c>
      <c r="BF16" s="3">
        <v>1024</v>
      </c>
      <c r="BG16" s="3">
        <v>2</v>
      </c>
      <c r="BH16" s="3">
        <v>156.75</v>
      </c>
      <c r="BI16" s="3">
        <v>16.9236</v>
      </c>
      <c r="BJ16" s="3">
        <v>37.175600000000003</v>
      </c>
      <c r="BK16" s="3">
        <f>BI16/BH16</f>
        <v>0.10796555023923446</v>
      </c>
      <c r="BL16" s="3">
        <f>BJ16/BH16</f>
        <v>0.23716491228070177</v>
      </c>
    </row>
    <row r="17" spans="1:64" x14ac:dyDescent="0.55000000000000004">
      <c r="A17">
        <v>160</v>
      </c>
      <c r="B17">
        <v>128</v>
      </c>
      <c r="C17">
        <v>1024</v>
      </c>
      <c r="D17">
        <v>3</v>
      </c>
      <c r="E17">
        <v>262.19</v>
      </c>
      <c r="F17">
        <v>17.181799999999999</v>
      </c>
      <c r="G17">
        <v>36.290900000000001</v>
      </c>
      <c r="H17">
        <f>F17/E17</f>
        <v>6.5531866203897934E-2</v>
      </c>
      <c r="I17">
        <f>G17/E17</f>
        <v>0.13841450856249285</v>
      </c>
      <c r="L17">
        <v>40</v>
      </c>
      <c r="M17">
        <v>128</v>
      </c>
      <c r="N17">
        <v>256</v>
      </c>
      <c r="O17">
        <v>1</v>
      </c>
      <c r="P17">
        <v>152.4</v>
      </c>
      <c r="Q17">
        <v>18.611000000000001</v>
      </c>
      <c r="R17">
        <v>32.618000000000002</v>
      </c>
      <c r="S17">
        <f>Q17/P17</f>
        <v>0.12211942257217848</v>
      </c>
      <c r="T17">
        <f>R17/P17</f>
        <v>0.21402887139107613</v>
      </c>
      <c r="W17">
        <v>160</v>
      </c>
      <c r="X17">
        <v>128</v>
      </c>
      <c r="Y17">
        <v>256</v>
      </c>
      <c r="Z17">
        <v>4</v>
      </c>
      <c r="AA17">
        <v>187.74</v>
      </c>
      <c r="AB17">
        <v>18.838799999999999</v>
      </c>
      <c r="AC17">
        <v>31.0474</v>
      </c>
      <c r="AD17">
        <f>AB17/AA17</f>
        <v>0.10034515819750718</v>
      </c>
      <c r="AE17">
        <f>AC17/AA17</f>
        <v>0.16537445403217213</v>
      </c>
      <c r="AH17" s="3">
        <v>40</v>
      </c>
      <c r="AI17" s="3">
        <v>64</v>
      </c>
      <c r="AJ17" s="3">
        <v>1024</v>
      </c>
      <c r="AK17" s="3">
        <v>1</v>
      </c>
      <c r="AL17" s="3">
        <v>129.15</v>
      </c>
      <c r="AM17" s="3">
        <v>16.0733</v>
      </c>
      <c r="AN17" s="3">
        <v>24.5184</v>
      </c>
      <c r="AO17" s="3">
        <f>AM17/AL17</f>
        <v>0.12445451025938831</v>
      </c>
      <c r="AP17" s="3">
        <f>AN17/AL17</f>
        <v>0.18984436701509871</v>
      </c>
      <c r="AS17">
        <v>40</v>
      </c>
      <c r="AT17">
        <v>64</v>
      </c>
      <c r="AU17">
        <v>256</v>
      </c>
      <c r="AV17">
        <v>3</v>
      </c>
      <c r="AW17">
        <v>140.19</v>
      </c>
      <c r="AX17">
        <v>18.872199999999999</v>
      </c>
      <c r="AY17">
        <v>33.431899999999999</v>
      </c>
      <c r="AZ17">
        <f>AX17/AW17</f>
        <v>0.13461873172123545</v>
      </c>
      <c r="BA17">
        <f>AY17/AW17</f>
        <v>0.23847564020258222</v>
      </c>
      <c r="BD17">
        <v>80</v>
      </c>
      <c r="BE17">
        <v>128</v>
      </c>
      <c r="BF17">
        <v>256</v>
      </c>
      <c r="BG17">
        <v>1</v>
      </c>
      <c r="BH17">
        <v>119.17</v>
      </c>
      <c r="BI17">
        <v>18.437999999999999</v>
      </c>
      <c r="BJ17">
        <v>28.174399999999999</v>
      </c>
      <c r="BK17">
        <f>BI17/BH17</f>
        <v>0.15472014768817655</v>
      </c>
      <c r="BL17">
        <f>BJ17/BH17</f>
        <v>0.23642191826802045</v>
      </c>
    </row>
    <row r="18" spans="1:64" x14ac:dyDescent="0.55000000000000004">
      <c r="A18">
        <v>40</v>
      </c>
      <c r="B18">
        <v>128</v>
      </c>
      <c r="C18">
        <v>1024</v>
      </c>
      <c r="D18">
        <v>3</v>
      </c>
      <c r="E18">
        <v>260.52</v>
      </c>
      <c r="F18">
        <v>16.9848</v>
      </c>
      <c r="G18">
        <v>44.563800000000001</v>
      </c>
      <c r="H18">
        <f>F18/E18</f>
        <v>6.5195762321510822E-2</v>
      </c>
      <c r="I18">
        <f>G18/E18</f>
        <v>0.17105711653615846</v>
      </c>
      <c r="L18">
        <v>40</v>
      </c>
      <c r="M18">
        <v>64</v>
      </c>
      <c r="N18">
        <v>256</v>
      </c>
      <c r="O18">
        <v>1</v>
      </c>
      <c r="P18">
        <v>103.76</v>
      </c>
      <c r="Q18">
        <v>18.610800000000001</v>
      </c>
      <c r="R18">
        <v>32.4985</v>
      </c>
      <c r="S18">
        <f>Q18/P18</f>
        <v>0.17936391673091751</v>
      </c>
      <c r="T18">
        <f>R18/P18</f>
        <v>0.31320836545875097</v>
      </c>
      <c r="W18">
        <v>40</v>
      </c>
      <c r="X18">
        <v>128</v>
      </c>
      <c r="Y18">
        <v>256</v>
      </c>
      <c r="Z18">
        <v>3</v>
      </c>
      <c r="AA18">
        <v>205.25</v>
      </c>
      <c r="AB18">
        <v>18.837800000000001</v>
      </c>
      <c r="AC18">
        <v>41.18</v>
      </c>
      <c r="AD18">
        <f>AB18/AA18</f>
        <v>9.1779780755176621E-2</v>
      </c>
      <c r="AE18">
        <f>AC18/AA18</f>
        <v>0.20063337393422656</v>
      </c>
      <c r="AH18" s="3">
        <v>80</v>
      </c>
      <c r="AI18" s="3">
        <v>64</v>
      </c>
      <c r="AJ18" s="3">
        <v>1024</v>
      </c>
      <c r="AK18" s="3">
        <v>1</v>
      </c>
      <c r="AL18" s="3">
        <v>135.93</v>
      </c>
      <c r="AM18" s="3">
        <v>15.897500000000001</v>
      </c>
      <c r="AN18" s="3">
        <v>23.8492</v>
      </c>
      <c r="AO18" s="3">
        <f>AM18/AL18</f>
        <v>0.11695357904803944</v>
      </c>
      <c r="AP18" s="3">
        <f>AN18/AL18</f>
        <v>0.17545207091885529</v>
      </c>
      <c r="AS18">
        <v>160</v>
      </c>
      <c r="AT18">
        <v>64</v>
      </c>
      <c r="AU18">
        <v>256</v>
      </c>
      <c r="AV18">
        <v>4</v>
      </c>
      <c r="AW18">
        <v>144.80000000000001</v>
      </c>
      <c r="AX18">
        <v>19.236699999999999</v>
      </c>
      <c r="AY18">
        <v>41.510899999999999</v>
      </c>
      <c r="AZ18">
        <f>AX18/AW18</f>
        <v>0.13285013812154695</v>
      </c>
      <c r="BA18">
        <f>AY18/AW18</f>
        <v>0.28667748618784528</v>
      </c>
      <c r="BD18">
        <v>40</v>
      </c>
      <c r="BE18">
        <v>64</v>
      </c>
      <c r="BF18">
        <v>256</v>
      </c>
      <c r="BG18">
        <v>4</v>
      </c>
      <c r="BH18">
        <v>178.76</v>
      </c>
      <c r="BI18">
        <v>18.849799999999998</v>
      </c>
      <c r="BJ18">
        <v>41.1295</v>
      </c>
      <c r="BK18">
        <f>BI18/BH18</f>
        <v>0.10544752741105393</v>
      </c>
      <c r="BL18">
        <f>BJ18/BH18</f>
        <v>0.23008223316178117</v>
      </c>
    </row>
    <row r="19" spans="1:64" x14ac:dyDescent="0.55000000000000004">
      <c r="A19">
        <v>80</v>
      </c>
      <c r="B19">
        <v>128</v>
      </c>
      <c r="C19">
        <v>1024</v>
      </c>
      <c r="D19">
        <v>2</v>
      </c>
      <c r="E19">
        <v>259.83</v>
      </c>
      <c r="F19">
        <v>16.440899999999999</v>
      </c>
      <c r="G19">
        <v>27.283999999999999</v>
      </c>
      <c r="H19">
        <f>F19/E19</f>
        <v>6.3275603279067089E-2</v>
      </c>
      <c r="I19">
        <f>G19/E19</f>
        <v>0.10500712004002617</v>
      </c>
      <c r="L19">
        <v>80</v>
      </c>
      <c r="M19">
        <v>64</v>
      </c>
      <c r="N19">
        <v>256</v>
      </c>
      <c r="O19">
        <v>5</v>
      </c>
      <c r="P19">
        <v>187.11</v>
      </c>
      <c r="Q19">
        <v>19.4312</v>
      </c>
      <c r="R19">
        <v>32.311399999999999</v>
      </c>
      <c r="S19">
        <f>Q19/P19</f>
        <v>0.10384907273796162</v>
      </c>
      <c r="T19">
        <f>R19/P19</f>
        <v>0.17268665490887711</v>
      </c>
      <c r="W19">
        <v>40</v>
      </c>
      <c r="X19">
        <v>64</v>
      </c>
      <c r="Y19">
        <v>256</v>
      </c>
      <c r="Z19">
        <v>2</v>
      </c>
      <c r="AA19">
        <v>128.44999999999999</v>
      </c>
      <c r="AB19">
        <v>18.742000000000001</v>
      </c>
      <c r="AC19">
        <v>35.345399999999998</v>
      </c>
      <c r="AD19">
        <f>AB19/AA19</f>
        <v>0.14590891397430908</v>
      </c>
      <c r="AE19">
        <f>AC19/AA19</f>
        <v>0.27516854807318025</v>
      </c>
      <c r="AH19">
        <v>160</v>
      </c>
      <c r="AI19">
        <v>128</v>
      </c>
      <c r="AJ19">
        <v>256</v>
      </c>
      <c r="AK19">
        <v>3</v>
      </c>
      <c r="AL19">
        <v>136.84</v>
      </c>
      <c r="AM19">
        <v>19.5258</v>
      </c>
      <c r="AN19">
        <v>30.761600000000001</v>
      </c>
      <c r="AO19">
        <f>AM19/AL19</f>
        <v>0.14269073370359545</v>
      </c>
      <c r="AP19">
        <f>AN19/AL19</f>
        <v>0.22479976615024846</v>
      </c>
      <c r="AS19" s="3">
        <v>160</v>
      </c>
      <c r="AT19" s="3">
        <v>64</v>
      </c>
      <c r="AU19" s="3">
        <v>1024</v>
      </c>
      <c r="AV19" s="3">
        <v>1</v>
      </c>
      <c r="AW19" s="3">
        <v>127.51</v>
      </c>
      <c r="AX19" s="3">
        <v>15.9217</v>
      </c>
      <c r="AY19" s="3">
        <v>23.3307</v>
      </c>
      <c r="AZ19" s="3">
        <f>AX19/AW19</f>
        <v>0.12486628499725511</v>
      </c>
      <c r="BA19" s="3">
        <f>AY19/AW19</f>
        <v>0.18297153164457688</v>
      </c>
      <c r="BD19">
        <v>160</v>
      </c>
      <c r="BE19">
        <v>128</v>
      </c>
      <c r="BF19">
        <v>256</v>
      </c>
      <c r="BG19">
        <v>3</v>
      </c>
      <c r="BH19">
        <v>136.84</v>
      </c>
      <c r="BI19">
        <v>19.5258</v>
      </c>
      <c r="BJ19">
        <v>30.761600000000001</v>
      </c>
      <c r="BK19">
        <f>BI19/BH19</f>
        <v>0.14269073370359545</v>
      </c>
      <c r="BL19">
        <f>BJ19/BH19</f>
        <v>0.22479976615024846</v>
      </c>
    </row>
    <row r="20" spans="1:64" x14ac:dyDescent="0.55000000000000004">
      <c r="A20">
        <v>40</v>
      </c>
      <c r="B20">
        <v>128</v>
      </c>
      <c r="C20">
        <v>512</v>
      </c>
      <c r="D20">
        <v>3</v>
      </c>
      <c r="E20">
        <v>258.18</v>
      </c>
      <c r="F20">
        <v>17.755099999999999</v>
      </c>
      <c r="G20">
        <v>29.6526</v>
      </c>
      <c r="H20">
        <f>F20/E20</f>
        <v>6.8770237818576177E-2</v>
      </c>
      <c r="I20">
        <f>G20/E20</f>
        <v>0.11485242853822913</v>
      </c>
      <c r="L20">
        <v>80</v>
      </c>
      <c r="M20">
        <v>64</v>
      </c>
      <c r="N20">
        <v>512</v>
      </c>
      <c r="O20">
        <v>4</v>
      </c>
      <c r="P20">
        <v>206.71</v>
      </c>
      <c r="Q20">
        <v>17.3918</v>
      </c>
      <c r="R20">
        <v>32.283700000000003</v>
      </c>
      <c r="S20">
        <f>Q20/P20</f>
        <v>8.4136229500266072E-2</v>
      </c>
      <c r="T20">
        <f>R20/P20</f>
        <v>0.1561787044651928</v>
      </c>
      <c r="W20">
        <v>160</v>
      </c>
      <c r="X20">
        <v>64</v>
      </c>
      <c r="Y20">
        <v>256</v>
      </c>
      <c r="Z20">
        <v>1</v>
      </c>
      <c r="AA20">
        <v>69.44</v>
      </c>
      <c r="AB20">
        <v>18.6431</v>
      </c>
      <c r="AC20">
        <v>28.969899999999999</v>
      </c>
      <c r="AD20">
        <f>AB20/AA20</f>
        <v>0.26847782258064518</v>
      </c>
      <c r="AE20">
        <f>AC20/AA20</f>
        <v>0.41719326036866361</v>
      </c>
      <c r="AH20">
        <v>160</v>
      </c>
      <c r="AI20">
        <v>64</v>
      </c>
      <c r="AJ20">
        <v>512</v>
      </c>
      <c r="AK20">
        <v>2</v>
      </c>
      <c r="AL20">
        <v>137.57</v>
      </c>
      <c r="AM20">
        <v>15.6402</v>
      </c>
      <c r="AN20">
        <v>22.035699999999999</v>
      </c>
      <c r="AO20">
        <f>AM20/AL20</f>
        <v>0.11368903103874392</v>
      </c>
      <c r="AP20">
        <f>AN20/AL20</f>
        <v>0.16017809115359452</v>
      </c>
      <c r="AS20" s="3">
        <v>40</v>
      </c>
      <c r="AT20" s="3">
        <v>64</v>
      </c>
      <c r="AU20" s="3">
        <v>1024</v>
      </c>
      <c r="AV20" s="3">
        <v>1</v>
      </c>
      <c r="AW20" s="3">
        <v>129.15</v>
      </c>
      <c r="AX20" s="3">
        <v>16.0733</v>
      </c>
      <c r="AY20" s="3">
        <v>24.5184</v>
      </c>
      <c r="AZ20" s="3">
        <f>AX20/AW20</f>
        <v>0.12445451025938831</v>
      </c>
      <c r="BA20" s="3">
        <f>AY20/AW20</f>
        <v>0.18984436701509871</v>
      </c>
      <c r="BD20" s="3">
        <v>160</v>
      </c>
      <c r="BE20" s="3">
        <v>64</v>
      </c>
      <c r="BF20" s="3">
        <v>1024</v>
      </c>
      <c r="BG20" s="3">
        <v>2</v>
      </c>
      <c r="BH20" s="3">
        <v>156.07</v>
      </c>
      <c r="BI20" s="3">
        <v>17.123200000000001</v>
      </c>
      <c r="BJ20" s="3">
        <v>34.868099999999998</v>
      </c>
      <c r="BK20" s="3">
        <f>BI20/BH20</f>
        <v>0.10971487153200488</v>
      </c>
      <c r="BL20" s="3">
        <f>BJ20/BH20</f>
        <v>0.22341321202024733</v>
      </c>
    </row>
    <row r="21" spans="1:64" x14ac:dyDescent="0.55000000000000004">
      <c r="A21">
        <v>80</v>
      </c>
      <c r="B21">
        <v>128</v>
      </c>
      <c r="C21">
        <v>512</v>
      </c>
      <c r="D21">
        <v>3</v>
      </c>
      <c r="E21">
        <v>256.5</v>
      </c>
      <c r="F21">
        <v>17.801400000000001</v>
      </c>
      <c r="G21">
        <v>31.760200000000001</v>
      </c>
      <c r="H21">
        <f>F21/E21</f>
        <v>6.9401169590643283E-2</v>
      </c>
      <c r="I21">
        <f>G21/E21</f>
        <v>0.12382144249512671</v>
      </c>
      <c r="L21">
        <v>80</v>
      </c>
      <c r="M21">
        <v>128</v>
      </c>
      <c r="N21">
        <v>256</v>
      </c>
      <c r="O21">
        <v>3</v>
      </c>
      <c r="P21">
        <v>173.58</v>
      </c>
      <c r="Q21">
        <v>19.424900000000001</v>
      </c>
      <c r="R21">
        <v>32.217399999999998</v>
      </c>
      <c r="S21">
        <f>Q21/P21</f>
        <v>0.11190747782002534</v>
      </c>
      <c r="T21">
        <f>R21/P21</f>
        <v>0.18560548450282288</v>
      </c>
      <c r="W21">
        <v>40</v>
      </c>
      <c r="X21">
        <v>128</v>
      </c>
      <c r="Y21">
        <v>256</v>
      </c>
      <c r="Z21">
        <v>2</v>
      </c>
      <c r="AA21">
        <v>186.56</v>
      </c>
      <c r="AB21">
        <v>18.637799999999999</v>
      </c>
      <c r="AC21">
        <v>32.9953</v>
      </c>
      <c r="AD21">
        <f>AB21/AA21</f>
        <v>9.9902444253859343E-2</v>
      </c>
      <c r="AE21">
        <f>AC21/AA21</f>
        <v>0.17686159948542024</v>
      </c>
      <c r="AH21">
        <v>40</v>
      </c>
      <c r="AI21">
        <v>64</v>
      </c>
      <c r="AJ21">
        <v>256</v>
      </c>
      <c r="AK21">
        <v>3</v>
      </c>
      <c r="AL21">
        <v>140.19</v>
      </c>
      <c r="AM21">
        <v>18.872199999999999</v>
      </c>
      <c r="AN21">
        <v>33.431899999999999</v>
      </c>
      <c r="AO21">
        <f>AM21/AL21</f>
        <v>0.13461873172123545</v>
      </c>
      <c r="AP21">
        <f>AN21/AL21</f>
        <v>0.23847564020258222</v>
      </c>
      <c r="AS21">
        <v>40</v>
      </c>
      <c r="AT21">
        <v>128</v>
      </c>
      <c r="AU21">
        <v>256</v>
      </c>
      <c r="AV21">
        <v>1</v>
      </c>
      <c r="AW21">
        <v>152.4</v>
      </c>
      <c r="AX21">
        <v>18.611000000000001</v>
      </c>
      <c r="AY21">
        <v>32.618000000000002</v>
      </c>
      <c r="AZ21">
        <f>AX21/AW21</f>
        <v>0.12211942257217848</v>
      </c>
      <c r="BA21">
        <f>AY21/AW21</f>
        <v>0.21402887139107613</v>
      </c>
      <c r="BD21">
        <v>80</v>
      </c>
      <c r="BE21">
        <v>64</v>
      </c>
      <c r="BF21">
        <v>256</v>
      </c>
      <c r="BG21">
        <v>3</v>
      </c>
      <c r="BH21">
        <v>123.18</v>
      </c>
      <c r="BI21">
        <v>19.8827</v>
      </c>
      <c r="BJ21">
        <v>27.001300000000001</v>
      </c>
      <c r="BK21">
        <f>BI21/BH21</f>
        <v>0.16141175515505762</v>
      </c>
      <c r="BL21">
        <f>BJ21/BH21</f>
        <v>0.21920198084104561</v>
      </c>
    </row>
    <row r="22" spans="1:64" x14ac:dyDescent="0.55000000000000004">
      <c r="A22">
        <v>40</v>
      </c>
      <c r="B22">
        <v>128</v>
      </c>
      <c r="C22">
        <v>256</v>
      </c>
      <c r="D22">
        <v>4</v>
      </c>
      <c r="E22">
        <v>255.44</v>
      </c>
      <c r="F22">
        <v>18.813199999999998</v>
      </c>
      <c r="G22">
        <v>38.545099999999998</v>
      </c>
      <c r="H22">
        <f>F22/E22</f>
        <v>7.3650172251800802E-2</v>
      </c>
      <c r="I22">
        <f>G22/E22</f>
        <v>0.15089688380833072</v>
      </c>
      <c r="L22" s="3">
        <v>80</v>
      </c>
      <c r="M22" s="3">
        <v>64</v>
      </c>
      <c r="N22" s="3">
        <v>1024</v>
      </c>
      <c r="O22" s="3">
        <v>2</v>
      </c>
      <c r="P22" s="3">
        <v>163.82</v>
      </c>
      <c r="Q22" s="3">
        <v>16.790099999999999</v>
      </c>
      <c r="R22" s="3">
        <v>32.190399999999997</v>
      </c>
      <c r="S22" s="3">
        <f>Q22/P22</f>
        <v>0.10249114882187767</v>
      </c>
      <c r="T22" s="3">
        <f>R22/P22</f>
        <v>0.19649859602002195</v>
      </c>
      <c r="W22">
        <v>40</v>
      </c>
      <c r="X22">
        <v>128</v>
      </c>
      <c r="Y22">
        <v>256</v>
      </c>
      <c r="Z22">
        <v>1</v>
      </c>
      <c r="AA22">
        <v>152.4</v>
      </c>
      <c r="AB22">
        <v>18.611000000000001</v>
      </c>
      <c r="AC22">
        <v>32.618000000000002</v>
      </c>
      <c r="AD22">
        <f>AB22/AA22</f>
        <v>0.12211942257217848</v>
      </c>
      <c r="AE22">
        <f>AC22/AA22</f>
        <v>0.21402887139107613</v>
      </c>
      <c r="AH22">
        <v>160</v>
      </c>
      <c r="AI22">
        <v>64</v>
      </c>
      <c r="AJ22">
        <v>256</v>
      </c>
      <c r="AK22">
        <v>4</v>
      </c>
      <c r="AL22">
        <v>144.80000000000001</v>
      </c>
      <c r="AM22">
        <v>19.236699999999999</v>
      </c>
      <c r="AN22">
        <v>41.510899999999999</v>
      </c>
      <c r="AO22">
        <f>AM22/AL22</f>
        <v>0.13285013812154695</v>
      </c>
      <c r="AP22">
        <f>AN22/AL22</f>
        <v>0.28667748618784528</v>
      </c>
      <c r="AS22">
        <v>80</v>
      </c>
      <c r="AT22">
        <v>128</v>
      </c>
      <c r="AU22">
        <v>256</v>
      </c>
      <c r="AV22">
        <v>2</v>
      </c>
      <c r="AW22">
        <v>155.33000000000001</v>
      </c>
      <c r="AX22">
        <v>18.946000000000002</v>
      </c>
      <c r="AY22">
        <v>33.285400000000003</v>
      </c>
      <c r="AZ22">
        <f>AX22/AW22</f>
        <v>0.1219725745187665</v>
      </c>
      <c r="BA22">
        <f>AY22/AW22</f>
        <v>0.21428828944827141</v>
      </c>
      <c r="BD22">
        <v>80</v>
      </c>
      <c r="BE22">
        <v>128</v>
      </c>
      <c r="BF22">
        <v>256</v>
      </c>
      <c r="BG22">
        <v>2</v>
      </c>
      <c r="BH22">
        <v>155.33000000000001</v>
      </c>
      <c r="BI22">
        <v>18.946000000000002</v>
      </c>
      <c r="BJ22">
        <v>33.285400000000003</v>
      </c>
      <c r="BK22">
        <f>BI22/BH22</f>
        <v>0.1219725745187665</v>
      </c>
      <c r="BL22">
        <f>BJ22/BH22</f>
        <v>0.21428828944827141</v>
      </c>
    </row>
    <row r="23" spans="1:64" x14ac:dyDescent="0.55000000000000004">
      <c r="A23">
        <v>160</v>
      </c>
      <c r="B23">
        <v>128</v>
      </c>
      <c r="C23">
        <v>1024</v>
      </c>
      <c r="D23">
        <v>2</v>
      </c>
      <c r="E23">
        <v>243.03</v>
      </c>
      <c r="F23">
        <v>16.606400000000001</v>
      </c>
      <c r="G23">
        <v>26.534800000000001</v>
      </c>
      <c r="H23">
        <f>F23/E23</f>
        <v>6.833065876640744E-2</v>
      </c>
      <c r="I23">
        <f>G23/E23</f>
        <v>0.10918322840801548</v>
      </c>
      <c r="L23">
        <v>160</v>
      </c>
      <c r="M23">
        <v>128</v>
      </c>
      <c r="N23">
        <v>256</v>
      </c>
      <c r="O23">
        <v>4</v>
      </c>
      <c r="P23">
        <v>187.74</v>
      </c>
      <c r="Q23">
        <v>18.838799999999999</v>
      </c>
      <c r="R23">
        <v>31.0474</v>
      </c>
      <c r="S23">
        <f>Q23/P23</f>
        <v>0.10034515819750718</v>
      </c>
      <c r="T23">
        <f>R23/P23</f>
        <v>0.16537445403217213</v>
      </c>
      <c r="W23">
        <v>40</v>
      </c>
      <c r="X23">
        <v>64</v>
      </c>
      <c r="Y23">
        <v>256</v>
      </c>
      <c r="Z23">
        <v>1</v>
      </c>
      <c r="AA23">
        <v>103.76</v>
      </c>
      <c r="AB23">
        <v>18.610800000000001</v>
      </c>
      <c r="AC23">
        <v>32.4985</v>
      </c>
      <c r="AD23">
        <f>AB23/AA23</f>
        <v>0.17936391673091751</v>
      </c>
      <c r="AE23">
        <f>AC23/AA23</f>
        <v>0.31320836545875097</v>
      </c>
      <c r="AH23">
        <v>160</v>
      </c>
      <c r="AI23">
        <v>64</v>
      </c>
      <c r="AJ23">
        <v>512</v>
      </c>
      <c r="AK23">
        <v>3</v>
      </c>
      <c r="AL23">
        <v>151.80000000000001</v>
      </c>
      <c r="AM23">
        <v>17.692699999999999</v>
      </c>
      <c r="AN23">
        <v>41.718899999999998</v>
      </c>
      <c r="AO23">
        <f>AM23/AL23</f>
        <v>0.11655270092226612</v>
      </c>
      <c r="AP23">
        <f>AN23/AL23</f>
        <v>0.2748280632411067</v>
      </c>
      <c r="AS23">
        <v>80</v>
      </c>
      <c r="AT23">
        <v>64</v>
      </c>
      <c r="AU23">
        <v>256</v>
      </c>
      <c r="AV23">
        <v>4</v>
      </c>
      <c r="AW23">
        <v>162.34</v>
      </c>
      <c r="AX23">
        <v>19.1587</v>
      </c>
      <c r="AY23">
        <v>41.773499999999999</v>
      </c>
      <c r="AZ23">
        <f>AX23/AW23</f>
        <v>0.11801589257114697</v>
      </c>
      <c r="BA23">
        <f>AY23/AW23</f>
        <v>0.25732105457681409</v>
      </c>
      <c r="BD23">
        <v>40</v>
      </c>
      <c r="BE23">
        <v>128</v>
      </c>
      <c r="BF23">
        <v>256</v>
      </c>
      <c r="BG23">
        <v>1</v>
      </c>
      <c r="BH23">
        <v>152.4</v>
      </c>
      <c r="BI23">
        <v>18.611000000000001</v>
      </c>
      <c r="BJ23">
        <v>32.618000000000002</v>
      </c>
      <c r="BK23">
        <f>BI23/BH23</f>
        <v>0.12211942257217848</v>
      </c>
      <c r="BL23">
        <f>BJ23/BH23</f>
        <v>0.21402887139107613</v>
      </c>
    </row>
    <row r="24" spans="1:64" x14ac:dyDescent="0.55000000000000004">
      <c r="A24">
        <v>40</v>
      </c>
      <c r="B24">
        <v>128</v>
      </c>
      <c r="C24">
        <v>1024</v>
      </c>
      <c r="D24">
        <v>2</v>
      </c>
      <c r="E24">
        <v>240.9</v>
      </c>
      <c r="F24">
        <v>16.292100000000001</v>
      </c>
      <c r="G24">
        <v>26.0975</v>
      </c>
      <c r="H24">
        <f>F24/E24</f>
        <v>6.7630136986301367E-2</v>
      </c>
      <c r="I24">
        <f>G24/E24</f>
        <v>0.10833333333333334</v>
      </c>
      <c r="L24">
        <v>40</v>
      </c>
      <c r="M24">
        <v>64</v>
      </c>
      <c r="N24">
        <v>512</v>
      </c>
      <c r="O24">
        <v>4</v>
      </c>
      <c r="P24">
        <v>208.56</v>
      </c>
      <c r="Q24">
        <v>17.0366</v>
      </c>
      <c r="R24">
        <v>30.9377</v>
      </c>
      <c r="S24">
        <f>Q24/P24</f>
        <v>8.1686804756425008E-2</v>
      </c>
      <c r="T24">
        <f>R24/P24</f>
        <v>0.14833956655159186</v>
      </c>
      <c r="W24" s="2">
        <v>40</v>
      </c>
      <c r="X24" s="2">
        <v>64</v>
      </c>
      <c r="Y24" s="2">
        <v>512</v>
      </c>
      <c r="Z24" s="2">
        <v>1</v>
      </c>
      <c r="AA24" s="2">
        <v>128.19</v>
      </c>
      <c r="AB24" s="2">
        <v>18.495699999999999</v>
      </c>
      <c r="AC24" s="2">
        <v>22.565000000000001</v>
      </c>
      <c r="AD24" s="2">
        <f>AB24/AA24</f>
        <v>0.14428348545128325</v>
      </c>
      <c r="AE24" s="2">
        <f>AC24/AA24</f>
        <v>0.17602777127701069</v>
      </c>
      <c r="AH24">
        <v>40</v>
      </c>
      <c r="AI24">
        <v>128</v>
      </c>
      <c r="AJ24">
        <v>256</v>
      </c>
      <c r="AK24">
        <v>1</v>
      </c>
      <c r="AL24">
        <v>152.4</v>
      </c>
      <c r="AM24">
        <v>18.611000000000001</v>
      </c>
      <c r="AN24">
        <v>32.618000000000002</v>
      </c>
      <c r="AO24">
        <f>AM24/AL24</f>
        <v>0.12211942257217848</v>
      </c>
      <c r="AP24">
        <f>AN24/AL24</f>
        <v>0.21402887139107613</v>
      </c>
      <c r="AS24" s="3">
        <v>80</v>
      </c>
      <c r="AT24" s="3">
        <v>64</v>
      </c>
      <c r="AU24" s="3">
        <v>1024</v>
      </c>
      <c r="AV24" s="3">
        <v>1</v>
      </c>
      <c r="AW24" s="3">
        <v>135.93</v>
      </c>
      <c r="AX24" s="3">
        <v>15.897500000000001</v>
      </c>
      <c r="AY24" s="3">
        <v>23.8492</v>
      </c>
      <c r="AZ24" s="3">
        <f>AX24/AW24</f>
        <v>0.11695357904803944</v>
      </c>
      <c r="BA24" s="3">
        <f>AY24/AW24</f>
        <v>0.17545207091885529</v>
      </c>
      <c r="BD24" s="2">
        <v>80</v>
      </c>
      <c r="BE24" s="2">
        <v>64</v>
      </c>
      <c r="BF24" s="2">
        <v>512</v>
      </c>
      <c r="BG24" s="2">
        <v>3</v>
      </c>
      <c r="BH24" s="2">
        <v>165.61</v>
      </c>
      <c r="BI24" s="2">
        <v>17.428599999999999</v>
      </c>
      <c r="BJ24" s="2">
        <v>33.710799999999999</v>
      </c>
      <c r="BK24" s="2">
        <f>BI24/BH24</f>
        <v>0.10523881408127528</v>
      </c>
      <c r="BL24" s="2">
        <f>BJ24/BH24</f>
        <v>0.20355534086105909</v>
      </c>
    </row>
    <row r="25" spans="1:64" x14ac:dyDescent="0.55000000000000004">
      <c r="A25">
        <v>40</v>
      </c>
      <c r="B25">
        <v>128</v>
      </c>
      <c r="C25">
        <v>512</v>
      </c>
      <c r="D25">
        <v>2</v>
      </c>
      <c r="E25">
        <v>239.09</v>
      </c>
      <c r="F25">
        <v>16.5473</v>
      </c>
      <c r="G25">
        <v>25.665199999999999</v>
      </c>
      <c r="H25">
        <f>F25/E25</f>
        <v>6.9209502697728881E-2</v>
      </c>
      <c r="I25">
        <f>G25/E25</f>
        <v>0.10734535112300807</v>
      </c>
      <c r="L25">
        <v>160</v>
      </c>
      <c r="M25">
        <v>64</v>
      </c>
      <c r="N25">
        <v>512</v>
      </c>
      <c r="O25">
        <v>4</v>
      </c>
      <c r="P25">
        <v>191.85</v>
      </c>
      <c r="Q25">
        <v>17.4343</v>
      </c>
      <c r="R25">
        <v>30.891400000000001</v>
      </c>
      <c r="S25">
        <f>Q25/P25</f>
        <v>9.0874641647120155E-2</v>
      </c>
      <c r="T25">
        <f>R25/P25</f>
        <v>0.16101850403961429</v>
      </c>
      <c r="W25">
        <v>40</v>
      </c>
      <c r="X25">
        <v>128</v>
      </c>
      <c r="Y25">
        <v>512</v>
      </c>
      <c r="Z25">
        <v>1</v>
      </c>
      <c r="AA25">
        <v>204.76</v>
      </c>
      <c r="AB25">
        <v>18.472300000000001</v>
      </c>
      <c r="AC25">
        <v>22.5032</v>
      </c>
      <c r="AD25">
        <f>AB25/AA25</f>
        <v>9.0214397343231112E-2</v>
      </c>
      <c r="AE25">
        <f>AC25/AA25</f>
        <v>0.1099003711662434</v>
      </c>
      <c r="AH25">
        <v>80</v>
      </c>
      <c r="AI25">
        <v>64</v>
      </c>
      <c r="AJ25">
        <v>512</v>
      </c>
      <c r="AK25">
        <v>2</v>
      </c>
      <c r="AL25">
        <v>153.1</v>
      </c>
      <c r="AM25">
        <v>15.7753</v>
      </c>
      <c r="AN25">
        <v>22.2653</v>
      </c>
      <c r="AO25">
        <f>AM25/AL25</f>
        <v>0.10303919007184846</v>
      </c>
      <c r="AP25">
        <f>AN25/AL25</f>
        <v>0.14542978445460483</v>
      </c>
      <c r="AS25">
        <v>160</v>
      </c>
      <c r="AT25">
        <v>64</v>
      </c>
      <c r="AU25">
        <v>512</v>
      </c>
      <c r="AV25">
        <v>3</v>
      </c>
      <c r="AW25">
        <v>151.80000000000001</v>
      </c>
      <c r="AX25">
        <v>17.692699999999999</v>
      </c>
      <c r="AY25">
        <v>41.718899999999998</v>
      </c>
      <c r="AZ25">
        <f>AX25/AW25</f>
        <v>0.11655270092226612</v>
      </c>
      <c r="BA25">
        <f>AY25/AW25</f>
        <v>0.2748280632411067</v>
      </c>
      <c r="BD25">
        <v>40</v>
      </c>
      <c r="BE25">
        <v>64</v>
      </c>
      <c r="BF25">
        <v>256</v>
      </c>
      <c r="BG25">
        <v>5</v>
      </c>
      <c r="BH25">
        <v>205.23</v>
      </c>
      <c r="BI25">
        <v>18.850100000000001</v>
      </c>
      <c r="BJ25">
        <v>41.6676</v>
      </c>
      <c r="BK25">
        <f>BI25/BH25</f>
        <v>9.1848657603664188E-2</v>
      </c>
      <c r="BL25">
        <f>BJ25/BH25</f>
        <v>0.20302879695950884</v>
      </c>
    </row>
    <row r="26" spans="1:64" x14ac:dyDescent="0.55000000000000004">
      <c r="A26">
        <v>80</v>
      </c>
      <c r="B26">
        <v>64</v>
      </c>
      <c r="C26">
        <v>1024</v>
      </c>
      <c r="D26">
        <v>5</v>
      </c>
      <c r="E26">
        <v>237.91</v>
      </c>
      <c r="F26">
        <v>17.6462</v>
      </c>
      <c r="G26">
        <v>26.043900000000001</v>
      </c>
      <c r="H26">
        <f>F26/E26</f>
        <v>7.4171745618090881E-2</v>
      </c>
      <c r="I26">
        <f>G26/E26</f>
        <v>0.10946954730780548</v>
      </c>
      <c r="L26">
        <v>160</v>
      </c>
      <c r="M26">
        <v>128</v>
      </c>
      <c r="N26">
        <v>256</v>
      </c>
      <c r="O26">
        <v>3</v>
      </c>
      <c r="P26">
        <v>136.84</v>
      </c>
      <c r="Q26">
        <v>19.5258</v>
      </c>
      <c r="R26">
        <v>30.761600000000001</v>
      </c>
      <c r="S26">
        <f>Q26/P26</f>
        <v>0.14269073370359545</v>
      </c>
      <c r="T26">
        <f>R26/P26</f>
        <v>0.22479976615024846</v>
      </c>
      <c r="W26" s="2">
        <v>80</v>
      </c>
      <c r="X26" s="2">
        <v>128</v>
      </c>
      <c r="Y26" s="2">
        <v>512</v>
      </c>
      <c r="Z26" s="2">
        <v>1</v>
      </c>
      <c r="AA26" s="2">
        <v>201.96</v>
      </c>
      <c r="AB26" s="2">
        <v>18.443300000000001</v>
      </c>
      <c r="AC26" s="2">
        <v>22.253799999999998</v>
      </c>
      <c r="AD26" s="2">
        <f>AB26/AA26</f>
        <v>9.1321548821548817E-2</v>
      </c>
      <c r="AE26" s="2">
        <f>AC26/AA26</f>
        <v>0.11018914636561694</v>
      </c>
      <c r="AH26">
        <v>40</v>
      </c>
      <c r="AI26">
        <v>64</v>
      </c>
      <c r="AJ26">
        <v>512</v>
      </c>
      <c r="AK26">
        <v>2</v>
      </c>
      <c r="AL26">
        <v>154.18</v>
      </c>
      <c r="AM26">
        <v>15.5085</v>
      </c>
      <c r="AN26">
        <v>22.23</v>
      </c>
      <c r="AO26">
        <f>AM26/AL26</f>
        <v>0.10058697626151251</v>
      </c>
      <c r="AP26">
        <f>AN26/AL26</f>
        <v>0.14418212478920742</v>
      </c>
      <c r="AS26">
        <v>160</v>
      </c>
      <c r="AT26">
        <v>64</v>
      </c>
      <c r="AU26">
        <v>256</v>
      </c>
      <c r="AV26">
        <v>5</v>
      </c>
      <c r="AW26">
        <v>171.03</v>
      </c>
      <c r="AX26">
        <v>19.508299999999998</v>
      </c>
      <c r="AY26">
        <v>30.607299999999999</v>
      </c>
      <c r="AZ26">
        <f>AX26/AW26</f>
        <v>0.11406361457054318</v>
      </c>
      <c r="BA26">
        <f>AY26/AW26</f>
        <v>0.1789586622230018</v>
      </c>
      <c r="BD26">
        <v>160</v>
      </c>
      <c r="BE26">
        <v>64</v>
      </c>
      <c r="BF26">
        <v>512</v>
      </c>
      <c r="BG26">
        <v>1</v>
      </c>
      <c r="BH26">
        <v>116.54</v>
      </c>
      <c r="BI26">
        <v>18.278500000000001</v>
      </c>
      <c r="BJ26">
        <v>23.447900000000001</v>
      </c>
      <c r="BK26">
        <f>BI26/BH26</f>
        <v>0.1568431439848979</v>
      </c>
      <c r="BL26">
        <f>BJ26/BH26</f>
        <v>0.20120044619873004</v>
      </c>
    </row>
    <row r="27" spans="1:64" x14ac:dyDescent="0.55000000000000004">
      <c r="A27">
        <v>80</v>
      </c>
      <c r="B27">
        <v>128</v>
      </c>
      <c r="C27">
        <v>512</v>
      </c>
      <c r="D27">
        <v>2</v>
      </c>
      <c r="E27">
        <v>236.36</v>
      </c>
      <c r="F27">
        <v>16.262899999999998</v>
      </c>
      <c r="G27">
        <v>23.628499999999999</v>
      </c>
      <c r="H27">
        <f>F27/E27</f>
        <v>6.8805635471314935E-2</v>
      </c>
      <c r="I27">
        <f>G27/E27</f>
        <v>9.9968268742596025E-2</v>
      </c>
      <c r="L27">
        <v>160</v>
      </c>
      <c r="M27">
        <v>64</v>
      </c>
      <c r="N27">
        <v>256</v>
      </c>
      <c r="O27">
        <v>5</v>
      </c>
      <c r="P27">
        <v>171.03</v>
      </c>
      <c r="Q27">
        <v>19.508299999999998</v>
      </c>
      <c r="R27">
        <v>30.607299999999999</v>
      </c>
      <c r="S27">
        <f>Q27/P27</f>
        <v>0.11406361457054318</v>
      </c>
      <c r="T27">
        <f>R27/P27</f>
        <v>0.1789586622230018</v>
      </c>
      <c r="W27">
        <v>80</v>
      </c>
      <c r="X27">
        <v>128</v>
      </c>
      <c r="Y27">
        <v>256</v>
      </c>
      <c r="Z27">
        <v>1</v>
      </c>
      <c r="AA27">
        <v>119.17</v>
      </c>
      <c r="AB27">
        <v>18.437999999999999</v>
      </c>
      <c r="AC27">
        <v>28.174399999999999</v>
      </c>
      <c r="AD27">
        <f>AB27/AA27</f>
        <v>0.15472014768817655</v>
      </c>
      <c r="AE27">
        <f>AC27/AA27</f>
        <v>0.23642191826802045</v>
      </c>
      <c r="AH27">
        <v>80</v>
      </c>
      <c r="AI27">
        <v>128</v>
      </c>
      <c r="AJ27">
        <v>256</v>
      </c>
      <c r="AK27">
        <v>2</v>
      </c>
      <c r="AL27">
        <v>155.33000000000001</v>
      </c>
      <c r="AM27">
        <v>18.946000000000002</v>
      </c>
      <c r="AN27">
        <v>33.285400000000003</v>
      </c>
      <c r="AO27">
        <f>AM27/AL27</f>
        <v>0.1219725745187665</v>
      </c>
      <c r="AP27">
        <f>AN27/AL27</f>
        <v>0.21428828944827141</v>
      </c>
      <c r="AS27">
        <v>160</v>
      </c>
      <c r="AT27">
        <v>64</v>
      </c>
      <c r="AU27">
        <v>512</v>
      </c>
      <c r="AV27">
        <v>2</v>
      </c>
      <c r="AW27">
        <v>137.57</v>
      </c>
      <c r="AX27">
        <v>15.6402</v>
      </c>
      <c r="AY27">
        <v>22.035699999999999</v>
      </c>
      <c r="AZ27">
        <f>AX27/AW27</f>
        <v>0.11368903103874392</v>
      </c>
      <c r="BA27">
        <f>AY27/AW27</f>
        <v>0.16017809115359452</v>
      </c>
      <c r="BD27">
        <v>40</v>
      </c>
      <c r="BE27">
        <v>128</v>
      </c>
      <c r="BF27">
        <v>256</v>
      </c>
      <c r="BG27">
        <v>3</v>
      </c>
      <c r="BH27">
        <v>205.25</v>
      </c>
      <c r="BI27">
        <v>18.837800000000001</v>
      </c>
      <c r="BJ27">
        <v>41.18</v>
      </c>
      <c r="BK27">
        <f>BI27/BH27</f>
        <v>9.1779780755176621E-2</v>
      </c>
      <c r="BL27">
        <f>BJ27/BH27</f>
        <v>0.20063337393422656</v>
      </c>
    </row>
    <row r="28" spans="1:64" x14ac:dyDescent="0.55000000000000004">
      <c r="A28">
        <v>40</v>
      </c>
      <c r="B28">
        <v>64</v>
      </c>
      <c r="C28">
        <v>1024</v>
      </c>
      <c r="D28">
        <v>5</v>
      </c>
      <c r="E28">
        <v>231.55</v>
      </c>
      <c r="F28">
        <v>17.548999999999999</v>
      </c>
      <c r="G28">
        <v>26.988499999999998</v>
      </c>
      <c r="H28">
        <f>F28/E28</f>
        <v>7.5789246383070608E-2</v>
      </c>
      <c r="I28">
        <f>G28/E28</f>
        <v>0.11655581947743467</v>
      </c>
      <c r="L28">
        <v>80</v>
      </c>
      <c r="M28">
        <v>64</v>
      </c>
      <c r="N28">
        <v>1024</v>
      </c>
      <c r="O28">
        <v>3</v>
      </c>
      <c r="P28">
        <v>176.85</v>
      </c>
      <c r="Q28">
        <v>17.268999999999998</v>
      </c>
      <c r="R28">
        <v>29.835000000000001</v>
      </c>
      <c r="S28">
        <f>Q28/P28</f>
        <v>9.7647724059937796E-2</v>
      </c>
      <c r="T28">
        <f>R28/P28</f>
        <v>0.16870229007633589</v>
      </c>
      <c r="W28">
        <v>80</v>
      </c>
      <c r="X28">
        <v>64</v>
      </c>
      <c r="Y28">
        <v>256</v>
      </c>
      <c r="Z28">
        <v>1</v>
      </c>
      <c r="AA28">
        <v>84.95</v>
      </c>
      <c r="AB28">
        <v>18.4267</v>
      </c>
      <c r="AC28">
        <v>28.117100000000001</v>
      </c>
      <c r="AD28">
        <f>AB28/AA28</f>
        <v>0.21691230135373749</v>
      </c>
      <c r="AE28">
        <f>AC28/AA28</f>
        <v>0.33098410829899944</v>
      </c>
      <c r="AH28" s="3">
        <v>160</v>
      </c>
      <c r="AI28" s="3">
        <v>64</v>
      </c>
      <c r="AJ28" s="3">
        <v>1024</v>
      </c>
      <c r="AK28" s="3">
        <v>2</v>
      </c>
      <c r="AL28" s="3">
        <v>156.07</v>
      </c>
      <c r="AM28" s="3">
        <v>17.123200000000001</v>
      </c>
      <c r="AN28" s="3">
        <v>34.868099999999998</v>
      </c>
      <c r="AO28" s="3">
        <f>AM28/AL28</f>
        <v>0.10971487153200488</v>
      </c>
      <c r="AP28" s="3">
        <f>AN28/AL28</f>
        <v>0.22341321202024733</v>
      </c>
      <c r="AS28">
        <v>80</v>
      </c>
      <c r="AT28">
        <v>128</v>
      </c>
      <c r="AU28">
        <v>256</v>
      </c>
      <c r="AV28">
        <v>3</v>
      </c>
      <c r="AW28">
        <v>173.58</v>
      </c>
      <c r="AX28">
        <v>19.424900000000001</v>
      </c>
      <c r="AY28">
        <v>32.217399999999998</v>
      </c>
      <c r="AZ28">
        <f>AX28/AW28</f>
        <v>0.11190747782002534</v>
      </c>
      <c r="BA28">
        <f>AY28/AW28</f>
        <v>0.18560548450282288</v>
      </c>
      <c r="BD28" s="3">
        <v>80</v>
      </c>
      <c r="BE28" s="3">
        <v>64</v>
      </c>
      <c r="BF28" s="3">
        <v>1024</v>
      </c>
      <c r="BG28" s="3">
        <v>2</v>
      </c>
      <c r="BH28" s="3">
        <v>163.82</v>
      </c>
      <c r="BI28" s="3">
        <v>16.790099999999999</v>
      </c>
      <c r="BJ28" s="3">
        <v>32.190399999999997</v>
      </c>
      <c r="BK28" s="3">
        <f>BI28/BH28</f>
        <v>0.10249114882187767</v>
      </c>
      <c r="BL28" s="3">
        <f>BJ28/BH28</f>
        <v>0.19649859602002195</v>
      </c>
    </row>
    <row r="29" spans="1:64" x14ac:dyDescent="0.55000000000000004">
      <c r="A29">
        <v>40</v>
      </c>
      <c r="B29">
        <v>64</v>
      </c>
      <c r="C29">
        <v>512</v>
      </c>
      <c r="D29">
        <v>5</v>
      </c>
      <c r="E29">
        <v>230.04</v>
      </c>
      <c r="F29">
        <v>17.078900000000001</v>
      </c>
      <c r="G29">
        <v>33.174599999999998</v>
      </c>
      <c r="H29">
        <f>F29/E29</f>
        <v>7.4243175099982614E-2</v>
      </c>
      <c r="I29">
        <f>G29/E29</f>
        <v>0.14421231090245173</v>
      </c>
      <c r="L29">
        <v>160</v>
      </c>
      <c r="M29">
        <v>64</v>
      </c>
      <c r="N29">
        <v>1024</v>
      </c>
      <c r="O29">
        <v>3</v>
      </c>
      <c r="P29">
        <v>167.24</v>
      </c>
      <c r="Q29">
        <v>17.500900000000001</v>
      </c>
      <c r="R29">
        <v>29.171800000000001</v>
      </c>
      <c r="S29">
        <f>Q29/P29</f>
        <v>0.10464541975603923</v>
      </c>
      <c r="T29">
        <f>R29/P29</f>
        <v>0.17443075819182013</v>
      </c>
      <c r="W29" s="2">
        <v>160</v>
      </c>
      <c r="X29" s="2">
        <v>128</v>
      </c>
      <c r="Y29" s="2">
        <v>512</v>
      </c>
      <c r="Z29" s="2">
        <v>1</v>
      </c>
      <c r="AA29" s="2">
        <v>171.7</v>
      </c>
      <c r="AB29" s="2">
        <v>18.367599999999999</v>
      </c>
      <c r="AC29" s="2">
        <v>22.2239</v>
      </c>
      <c r="AD29" s="2">
        <f>AB29/AA29</f>
        <v>0.10697495631916133</v>
      </c>
      <c r="AE29" s="2">
        <f>AC29/AA29</f>
        <v>0.12943447874199185</v>
      </c>
      <c r="AH29">
        <v>40</v>
      </c>
      <c r="AI29">
        <v>64</v>
      </c>
      <c r="AJ29">
        <v>1024</v>
      </c>
      <c r="AK29">
        <v>2</v>
      </c>
      <c r="AL29">
        <v>156.75</v>
      </c>
      <c r="AM29">
        <v>16.9236</v>
      </c>
      <c r="AN29">
        <v>37.175600000000003</v>
      </c>
      <c r="AO29">
        <f>AM29/AL29</f>
        <v>0.10796555023923446</v>
      </c>
      <c r="AP29">
        <f>AN29/AL29</f>
        <v>0.23716491228070177</v>
      </c>
      <c r="AS29">
        <v>160</v>
      </c>
      <c r="AT29">
        <v>64</v>
      </c>
      <c r="AU29">
        <v>1024</v>
      </c>
      <c r="AV29">
        <v>2</v>
      </c>
      <c r="AW29">
        <v>156.07</v>
      </c>
      <c r="AX29">
        <v>17.123200000000001</v>
      </c>
      <c r="AY29">
        <v>34.868099999999998</v>
      </c>
      <c r="AZ29">
        <f>AX29/AW29</f>
        <v>0.10971487153200488</v>
      </c>
      <c r="BA29">
        <f>AY29/AW29</f>
        <v>0.22341321202024733</v>
      </c>
      <c r="BD29">
        <v>40</v>
      </c>
      <c r="BE29">
        <v>64</v>
      </c>
      <c r="BF29">
        <v>1024</v>
      </c>
      <c r="BG29">
        <v>1</v>
      </c>
      <c r="BH29">
        <v>129.15</v>
      </c>
      <c r="BI29">
        <v>16.0733</v>
      </c>
      <c r="BJ29">
        <v>24.5184</v>
      </c>
      <c r="BK29">
        <f>BI29/BH29</f>
        <v>0.12445451025938831</v>
      </c>
      <c r="BL29">
        <f>BJ29/BH29</f>
        <v>0.18984436701509871</v>
      </c>
    </row>
    <row r="30" spans="1:64" x14ac:dyDescent="0.55000000000000004">
      <c r="A30">
        <v>160</v>
      </c>
      <c r="B30">
        <v>64</v>
      </c>
      <c r="C30">
        <v>1024</v>
      </c>
      <c r="D30">
        <v>5</v>
      </c>
      <c r="E30">
        <v>227.98</v>
      </c>
      <c r="F30">
        <v>17.6584</v>
      </c>
      <c r="G30">
        <v>26.790299999999998</v>
      </c>
      <c r="H30">
        <f>F30/E30</f>
        <v>7.7455917185718051E-2</v>
      </c>
      <c r="I30">
        <f>G30/E30</f>
        <v>0.11751162382665147</v>
      </c>
      <c r="L30">
        <v>160</v>
      </c>
      <c r="M30">
        <v>64</v>
      </c>
      <c r="N30">
        <v>256</v>
      </c>
      <c r="O30">
        <v>1</v>
      </c>
      <c r="P30">
        <v>69.44</v>
      </c>
      <c r="Q30">
        <v>18.6431</v>
      </c>
      <c r="R30">
        <v>28.969899999999999</v>
      </c>
      <c r="S30">
        <f>Q30/P30</f>
        <v>0.26847782258064518</v>
      </c>
      <c r="T30">
        <f>R30/P30</f>
        <v>0.41719326036866361</v>
      </c>
      <c r="W30">
        <v>80</v>
      </c>
      <c r="X30">
        <v>64</v>
      </c>
      <c r="Y30">
        <v>512</v>
      </c>
      <c r="Z30">
        <v>1</v>
      </c>
      <c r="AA30">
        <v>126.16</v>
      </c>
      <c r="AB30">
        <v>18.2881</v>
      </c>
      <c r="AC30">
        <v>23.6706</v>
      </c>
      <c r="AD30">
        <f>AB30/AA30</f>
        <v>0.14495957514267596</v>
      </c>
      <c r="AE30">
        <f>AC30/AA30</f>
        <v>0.18762365250475588</v>
      </c>
      <c r="AH30">
        <v>80</v>
      </c>
      <c r="AI30">
        <v>64</v>
      </c>
      <c r="AJ30">
        <v>256</v>
      </c>
      <c r="AK30">
        <v>4</v>
      </c>
      <c r="AL30">
        <v>162.34</v>
      </c>
      <c r="AM30">
        <v>19.1587</v>
      </c>
      <c r="AN30">
        <v>41.773499999999999</v>
      </c>
      <c r="AO30">
        <f>AM30/AL30</f>
        <v>0.11801589257114697</v>
      </c>
      <c r="AP30">
        <f>AN30/AL30</f>
        <v>0.25732105457681409</v>
      </c>
      <c r="AS30">
        <v>40</v>
      </c>
      <c r="AT30">
        <v>64</v>
      </c>
      <c r="AU30">
        <v>1024</v>
      </c>
      <c r="AV30">
        <v>2</v>
      </c>
      <c r="AW30">
        <v>156.75</v>
      </c>
      <c r="AX30">
        <v>16.9236</v>
      </c>
      <c r="AY30">
        <v>37.175600000000003</v>
      </c>
      <c r="AZ30">
        <f>AX30/AW30</f>
        <v>0.10796555023923446</v>
      </c>
      <c r="BA30">
        <f>AY30/AW30</f>
        <v>0.23716491228070177</v>
      </c>
      <c r="BD30">
        <v>80</v>
      </c>
      <c r="BE30">
        <v>64</v>
      </c>
      <c r="BF30">
        <v>512</v>
      </c>
      <c r="BG30">
        <v>1</v>
      </c>
      <c r="BH30">
        <v>126.16</v>
      </c>
      <c r="BI30">
        <v>18.2881</v>
      </c>
      <c r="BJ30">
        <v>23.6706</v>
      </c>
      <c r="BK30">
        <f>BI30/BH30</f>
        <v>0.14495957514267596</v>
      </c>
      <c r="BL30">
        <f>BJ30/BH30</f>
        <v>0.18762365250475588</v>
      </c>
    </row>
    <row r="31" spans="1:64" x14ac:dyDescent="0.55000000000000004">
      <c r="A31">
        <v>80</v>
      </c>
      <c r="B31">
        <v>64</v>
      </c>
      <c r="C31">
        <v>512</v>
      </c>
      <c r="D31">
        <v>5</v>
      </c>
      <c r="E31">
        <v>227.75</v>
      </c>
      <c r="F31">
        <v>17.2318</v>
      </c>
      <c r="G31">
        <v>29.898</v>
      </c>
      <c r="H31">
        <f>F31/E31</f>
        <v>7.5661031833150386E-2</v>
      </c>
      <c r="I31">
        <f>G31/E31</f>
        <v>0.13127552140504939</v>
      </c>
      <c r="L31">
        <v>160</v>
      </c>
      <c r="M31">
        <v>64</v>
      </c>
      <c r="N31">
        <v>256</v>
      </c>
      <c r="O31">
        <v>2</v>
      </c>
      <c r="P31">
        <v>96.09</v>
      </c>
      <c r="Q31">
        <v>19.5092</v>
      </c>
      <c r="R31">
        <v>28.415099999999999</v>
      </c>
      <c r="S31">
        <f>Q31/P31</f>
        <v>0.20303049224685191</v>
      </c>
      <c r="T31">
        <f>R31/P31</f>
        <v>0.29571339369341243</v>
      </c>
      <c r="W31">
        <v>160</v>
      </c>
      <c r="X31">
        <v>64</v>
      </c>
      <c r="Y31">
        <v>512</v>
      </c>
      <c r="Z31">
        <v>1</v>
      </c>
      <c r="AA31">
        <v>116.54</v>
      </c>
      <c r="AB31">
        <v>18.278500000000001</v>
      </c>
      <c r="AC31">
        <v>23.447900000000001</v>
      </c>
      <c r="AD31">
        <f>AB31/AA31</f>
        <v>0.1568431439848979</v>
      </c>
      <c r="AE31">
        <f>AC31/AA31</f>
        <v>0.20120044619873004</v>
      </c>
      <c r="AH31">
        <v>80</v>
      </c>
      <c r="AI31">
        <v>64</v>
      </c>
      <c r="AJ31">
        <v>1024</v>
      </c>
      <c r="AK31">
        <v>2</v>
      </c>
      <c r="AL31">
        <v>163.82</v>
      </c>
      <c r="AM31">
        <v>16.790099999999999</v>
      </c>
      <c r="AN31">
        <v>32.190399999999997</v>
      </c>
      <c r="AO31">
        <f>AM31/AL31</f>
        <v>0.10249114882187767</v>
      </c>
      <c r="AP31">
        <f>AN31/AL31</f>
        <v>0.19649859602002195</v>
      </c>
      <c r="AS31">
        <v>160</v>
      </c>
      <c r="AT31">
        <v>128</v>
      </c>
      <c r="AU31">
        <v>512</v>
      </c>
      <c r="AV31">
        <v>1</v>
      </c>
      <c r="AW31">
        <v>171.7</v>
      </c>
      <c r="AX31">
        <v>18.367599999999999</v>
      </c>
      <c r="AY31">
        <v>22.2239</v>
      </c>
      <c r="AZ31">
        <f>AX31/AW31</f>
        <v>0.10697495631916133</v>
      </c>
      <c r="BA31">
        <f>AY31/AW31</f>
        <v>0.12943447874199185</v>
      </c>
      <c r="BD31">
        <v>80</v>
      </c>
      <c r="BE31">
        <v>128</v>
      </c>
      <c r="BF31">
        <v>256</v>
      </c>
      <c r="BG31">
        <v>3</v>
      </c>
      <c r="BH31">
        <v>173.58</v>
      </c>
      <c r="BI31">
        <v>19.424900000000001</v>
      </c>
      <c r="BJ31">
        <v>32.217399999999998</v>
      </c>
      <c r="BK31">
        <f>BI31/BH31</f>
        <v>0.11190747782002534</v>
      </c>
      <c r="BL31">
        <f>BJ31/BH31</f>
        <v>0.18560548450282288</v>
      </c>
    </row>
    <row r="32" spans="1:64" x14ac:dyDescent="0.55000000000000004">
      <c r="A32">
        <v>160</v>
      </c>
      <c r="B32">
        <v>128</v>
      </c>
      <c r="C32">
        <v>256</v>
      </c>
      <c r="D32">
        <v>5</v>
      </c>
      <c r="E32">
        <v>225.99</v>
      </c>
      <c r="F32">
        <v>19.055800000000001</v>
      </c>
      <c r="G32">
        <v>36.1676</v>
      </c>
      <c r="H32">
        <f>F32/E32</f>
        <v>8.4321430151776636E-2</v>
      </c>
      <c r="I32">
        <f>G32/E32</f>
        <v>0.16004070976591883</v>
      </c>
      <c r="L32">
        <v>80</v>
      </c>
      <c r="M32">
        <v>64</v>
      </c>
      <c r="N32">
        <v>256</v>
      </c>
      <c r="O32">
        <v>2</v>
      </c>
      <c r="P32">
        <v>113.51</v>
      </c>
      <c r="Q32">
        <v>19.532299999999999</v>
      </c>
      <c r="R32">
        <v>28.259599999999999</v>
      </c>
      <c r="S32">
        <f>Q32/P32</f>
        <v>0.17207558805391593</v>
      </c>
      <c r="T32">
        <f>R32/P32</f>
        <v>0.24896132499339263</v>
      </c>
      <c r="W32">
        <v>160</v>
      </c>
      <c r="X32">
        <v>128</v>
      </c>
      <c r="Y32">
        <v>256</v>
      </c>
      <c r="Z32">
        <v>1</v>
      </c>
      <c r="AA32">
        <v>85.96</v>
      </c>
      <c r="AB32">
        <v>18.129100000000001</v>
      </c>
      <c r="AC32">
        <v>26.043099999999999</v>
      </c>
      <c r="AD32">
        <f>AB32/AA32</f>
        <v>0.21090158213122384</v>
      </c>
      <c r="AE32">
        <f>AC32/AA32</f>
        <v>0.3029676593764542</v>
      </c>
      <c r="AH32">
        <v>80</v>
      </c>
      <c r="AI32">
        <v>64</v>
      </c>
      <c r="AJ32">
        <v>512</v>
      </c>
      <c r="AK32">
        <v>3</v>
      </c>
      <c r="AL32">
        <v>165.61</v>
      </c>
      <c r="AM32">
        <v>17.428599999999999</v>
      </c>
      <c r="AN32">
        <v>33.710799999999999</v>
      </c>
      <c r="AO32">
        <f>AM32/AL32</f>
        <v>0.10523881408127528</v>
      </c>
      <c r="AP32">
        <f>AN32/AL32</f>
        <v>0.20355534086105909</v>
      </c>
      <c r="AS32">
        <v>40</v>
      </c>
      <c r="AT32">
        <v>64</v>
      </c>
      <c r="AU32">
        <v>256</v>
      </c>
      <c r="AV32">
        <v>4</v>
      </c>
      <c r="AW32">
        <v>178.76</v>
      </c>
      <c r="AX32">
        <v>18.849799999999998</v>
      </c>
      <c r="AY32">
        <v>41.1295</v>
      </c>
      <c r="AZ32">
        <f>AX32/AW32</f>
        <v>0.10544752741105393</v>
      </c>
      <c r="BA32">
        <f>AY32/AW32</f>
        <v>0.23008223316178117</v>
      </c>
      <c r="BD32">
        <v>160</v>
      </c>
      <c r="BE32">
        <v>64</v>
      </c>
      <c r="BF32">
        <v>1024</v>
      </c>
      <c r="BG32">
        <v>1</v>
      </c>
      <c r="BH32">
        <v>127.51</v>
      </c>
      <c r="BI32">
        <v>15.9217</v>
      </c>
      <c r="BJ32">
        <v>23.3307</v>
      </c>
      <c r="BK32">
        <f>BI32/BH32</f>
        <v>0.12486628499725511</v>
      </c>
      <c r="BL32">
        <f>BJ32/BH32</f>
        <v>0.18297153164457688</v>
      </c>
    </row>
    <row r="33" spans="1:64" x14ac:dyDescent="0.55000000000000004">
      <c r="A33">
        <v>160</v>
      </c>
      <c r="B33">
        <v>128</v>
      </c>
      <c r="C33">
        <v>512</v>
      </c>
      <c r="D33">
        <v>3</v>
      </c>
      <c r="E33">
        <v>224.68</v>
      </c>
      <c r="F33">
        <v>18.120899999999999</v>
      </c>
      <c r="G33">
        <v>28.107800000000001</v>
      </c>
      <c r="H33">
        <f>F33/E33</f>
        <v>8.0652038454691113E-2</v>
      </c>
      <c r="I33">
        <f>G33/E33</f>
        <v>0.12510147765711233</v>
      </c>
      <c r="L33">
        <v>80</v>
      </c>
      <c r="M33">
        <v>128</v>
      </c>
      <c r="N33">
        <v>256</v>
      </c>
      <c r="O33">
        <v>1</v>
      </c>
      <c r="P33">
        <v>119.17</v>
      </c>
      <c r="Q33">
        <v>18.437999999999999</v>
      </c>
      <c r="R33">
        <v>28.174399999999999</v>
      </c>
      <c r="S33">
        <f>Q33/P33</f>
        <v>0.15472014768817655</v>
      </c>
      <c r="T33">
        <f>R33/P33</f>
        <v>0.23642191826802045</v>
      </c>
      <c r="W33">
        <v>160</v>
      </c>
      <c r="X33">
        <v>64</v>
      </c>
      <c r="Y33">
        <v>512</v>
      </c>
      <c r="Z33">
        <v>3</v>
      </c>
      <c r="AA33">
        <v>151.80000000000001</v>
      </c>
      <c r="AB33">
        <v>17.692699999999999</v>
      </c>
      <c r="AC33">
        <v>41.718899999999998</v>
      </c>
      <c r="AD33">
        <f>AB33/AA33</f>
        <v>0.11655270092226612</v>
      </c>
      <c r="AE33">
        <f>AC33/AA33</f>
        <v>0.2748280632411067</v>
      </c>
      <c r="AH33">
        <v>40</v>
      </c>
      <c r="AI33">
        <v>64</v>
      </c>
      <c r="AJ33">
        <v>512</v>
      </c>
      <c r="AK33">
        <v>3</v>
      </c>
      <c r="AL33">
        <v>165.89</v>
      </c>
      <c r="AM33">
        <v>17.4192</v>
      </c>
      <c r="AN33">
        <v>42.106000000000002</v>
      </c>
      <c r="AO33">
        <f>AM33/AL33</f>
        <v>0.10500452106817772</v>
      </c>
      <c r="AP33">
        <f>AN33/AL33</f>
        <v>0.25381879558743747</v>
      </c>
      <c r="AS33">
        <v>80</v>
      </c>
      <c r="AT33">
        <v>64</v>
      </c>
      <c r="AU33">
        <v>512</v>
      </c>
      <c r="AV33">
        <v>3</v>
      </c>
      <c r="AW33">
        <v>165.61</v>
      </c>
      <c r="AX33">
        <v>17.428599999999999</v>
      </c>
      <c r="AY33">
        <v>33.710799999999999</v>
      </c>
      <c r="AZ33">
        <f>AX33/AW33</f>
        <v>0.10523881408127528</v>
      </c>
      <c r="BA33">
        <f>AY33/AW33</f>
        <v>0.20355534086105909</v>
      </c>
      <c r="BD33">
        <v>160</v>
      </c>
      <c r="BE33">
        <v>64</v>
      </c>
      <c r="BF33">
        <v>256</v>
      </c>
      <c r="BG33">
        <v>5</v>
      </c>
      <c r="BH33">
        <v>171.03</v>
      </c>
      <c r="BI33">
        <v>19.508299999999998</v>
      </c>
      <c r="BJ33">
        <v>30.607299999999999</v>
      </c>
      <c r="BK33">
        <f>BI33/BH33</f>
        <v>0.11406361457054318</v>
      </c>
      <c r="BL33">
        <f>BJ33/BH33</f>
        <v>0.1789586622230018</v>
      </c>
    </row>
    <row r="34" spans="1:64" x14ac:dyDescent="0.55000000000000004">
      <c r="A34">
        <v>80</v>
      </c>
      <c r="B34">
        <v>128</v>
      </c>
      <c r="C34">
        <v>256</v>
      </c>
      <c r="D34">
        <v>4</v>
      </c>
      <c r="E34">
        <v>224.24</v>
      </c>
      <c r="F34">
        <v>18.617699999999999</v>
      </c>
      <c r="G34">
        <v>29.910499999999999</v>
      </c>
      <c r="H34">
        <f>F34/E34</f>
        <v>8.3025775954334635E-2</v>
      </c>
      <c r="I34">
        <f>G34/E34</f>
        <v>0.13338610417409916</v>
      </c>
      <c r="L34">
        <v>80</v>
      </c>
      <c r="M34">
        <v>64</v>
      </c>
      <c r="N34">
        <v>256</v>
      </c>
      <c r="O34">
        <v>1</v>
      </c>
      <c r="P34">
        <v>84.95</v>
      </c>
      <c r="Q34">
        <v>18.4267</v>
      </c>
      <c r="R34">
        <v>28.117100000000001</v>
      </c>
      <c r="S34">
        <f>Q34/P34</f>
        <v>0.21691230135373749</v>
      </c>
      <c r="T34">
        <f>R34/P34</f>
        <v>0.33098410829899944</v>
      </c>
      <c r="W34" s="3">
        <v>40</v>
      </c>
      <c r="X34" s="3">
        <v>64</v>
      </c>
      <c r="Y34" s="3">
        <v>1024</v>
      </c>
      <c r="Z34" s="3">
        <v>3</v>
      </c>
      <c r="AA34" s="3">
        <v>167.52</v>
      </c>
      <c r="AB34" s="3">
        <v>17.5595</v>
      </c>
      <c r="AC34" s="3">
        <v>27.021999999999998</v>
      </c>
      <c r="AD34" s="3">
        <f>AB34/AA34</f>
        <v>0.1048203199617956</v>
      </c>
      <c r="AE34" s="3">
        <f>AC34/AA34</f>
        <v>0.16130611270296083</v>
      </c>
      <c r="AH34">
        <v>160</v>
      </c>
      <c r="AI34">
        <v>64</v>
      </c>
      <c r="AJ34">
        <v>1024</v>
      </c>
      <c r="AK34">
        <v>3</v>
      </c>
      <c r="AL34">
        <v>167.24</v>
      </c>
      <c r="AM34">
        <v>17.500900000000001</v>
      </c>
      <c r="AN34">
        <v>29.171800000000001</v>
      </c>
      <c r="AO34">
        <f>AM34/AL34</f>
        <v>0.10464541975603923</v>
      </c>
      <c r="AP34">
        <f>AN34/AL34</f>
        <v>0.17443075819182013</v>
      </c>
      <c r="AS34">
        <v>40</v>
      </c>
      <c r="AT34">
        <v>64</v>
      </c>
      <c r="AU34">
        <v>512</v>
      </c>
      <c r="AV34">
        <v>3</v>
      </c>
      <c r="AW34">
        <v>165.89</v>
      </c>
      <c r="AX34">
        <v>17.4192</v>
      </c>
      <c r="AY34">
        <v>42.106000000000002</v>
      </c>
      <c r="AZ34">
        <f>AX34/AW34</f>
        <v>0.10500452106817772</v>
      </c>
      <c r="BA34">
        <f>AY34/AW34</f>
        <v>0.25381879558743747</v>
      </c>
      <c r="BD34">
        <v>40</v>
      </c>
      <c r="BE34">
        <v>128</v>
      </c>
      <c r="BF34">
        <v>256</v>
      </c>
      <c r="BG34">
        <v>2</v>
      </c>
      <c r="BH34">
        <v>186.56</v>
      </c>
      <c r="BI34">
        <v>18.637799999999999</v>
      </c>
      <c r="BJ34">
        <v>32.9953</v>
      </c>
      <c r="BK34">
        <f>BI34/BH34</f>
        <v>9.9902444253859343E-2</v>
      </c>
      <c r="BL34">
        <f>BJ34/BH34</f>
        <v>0.17686159948542024</v>
      </c>
    </row>
    <row r="35" spans="1:64" x14ac:dyDescent="0.55000000000000004">
      <c r="A35">
        <v>80</v>
      </c>
      <c r="B35">
        <v>128</v>
      </c>
      <c r="C35">
        <v>1024</v>
      </c>
      <c r="D35">
        <v>1</v>
      </c>
      <c r="E35">
        <v>222.28</v>
      </c>
      <c r="F35">
        <v>15.529299999999999</v>
      </c>
      <c r="G35">
        <v>22.7165</v>
      </c>
      <c r="H35">
        <f>F35/E35</f>
        <v>6.9863685441785131E-2</v>
      </c>
      <c r="I35">
        <f>G35/E35</f>
        <v>0.10219767860356307</v>
      </c>
      <c r="L35">
        <v>40</v>
      </c>
      <c r="M35">
        <v>64</v>
      </c>
      <c r="N35">
        <v>1024</v>
      </c>
      <c r="O35">
        <v>3</v>
      </c>
      <c r="P35">
        <v>167.52</v>
      </c>
      <c r="Q35">
        <v>17.5595</v>
      </c>
      <c r="R35">
        <v>27.021999999999998</v>
      </c>
      <c r="S35">
        <f>Q35/P35</f>
        <v>0.1048203199617956</v>
      </c>
      <c r="T35">
        <f>R35/P35</f>
        <v>0.16130611270296083</v>
      </c>
      <c r="W35" s="3">
        <v>160</v>
      </c>
      <c r="X35" s="3">
        <v>64</v>
      </c>
      <c r="Y35" s="3">
        <v>1024</v>
      </c>
      <c r="Z35" s="3">
        <v>3</v>
      </c>
      <c r="AA35" s="3">
        <v>167.24</v>
      </c>
      <c r="AB35" s="3">
        <v>17.500900000000001</v>
      </c>
      <c r="AC35" s="3">
        <v>29.171800000000001</v>
      </c>
      <c r="AD35" s="3">
        <f>AB35/AA35</f>
        <v>0.10464541975603923</v>
      </c>
      <c r="AE35" s="3">
        <f>AC35/AA35</f>
        <v>0.17443075819182013</v>
      </c>
      <c r="AH35">
        <v>40</v>
      </c>
      <c r="AI35">
        <v>64</v>
      </c>
      <c r="AJ35">
        <v>1024</v>
      </c>
      <c r="AK35">
        <v>3</v>
      </c>
      <c r="AL35">
        <v>167.52</v>
      </c>
      <c r="AM35">
        <v>17.5595</v>
      </c>
      <c r="AN35">
        <v>27.021999999999998</v>
      </c>
      <c r="AO35">
        <f>AM35/AL35</f>
        <v>0.1048203199617956</v>
      </c>
      <c r="AP35">
        <f>AN35/AL35</f>
        <v>0.16130611270296083</v>
      </c>
      <c r="AS35">
        <v>40</v>
      </c>
      <c r="AT35">
        <v>64</v>
      </c>
      <c r="AU35">
        <v>1024</v>
      </c>
      <c r="AV35">
        <v>3</v>
      </c>
      <c r="AW35">
        <v>167.52</v>
      </c>
      <c r="AX35">
        <v>17.5595</v>
      </c>
      <c r="AY35">
        <v>27.021999999999998</v>
      </c>
      <c r="AZ35">
        <f>AX35/AW35</f>
        <v>0.1048203199617956</v>
      </c>
      <c r="BA35">
        <f>AY35/AW35</f>
        <v>0.16130611270296083</v>
      </c>
      <c r="BD35">
        <v>40</v>
      </c>
      <c r="BE35">
        <v>64</v>
      </c>
      <c r="BF35">
        <v>512</v>
      </c>
      <c r="BG35">
        <v>1</v>
      </c>
      <c r="BH35">
        <v>128.19</v>
      </c>
      <c r="BI35">
        <v>18.495699999999999</v>
      </c>
      <c r="BJ35">
        <v>22.565000000000001</v>
      </c>
      <c r="BK35">
        <f>BI35/BH35</f>
        <v>0.14428348545128325</v>
      </c>
      <c r="BL35">
        <f>BJ35/BH35</f>
        <v>0.17602777127701069</v>
      </c>
    </row>
    <row r="36" spans="1:64" x14ac:dyDescent="0.55000000000000004">
      <c r="A36">
        <v>160</v>
      </c>
      <c r="B36">
        <v>64</v>
      </c>
      <c r="C36">
        <v>512</v>
      </c>
      <c r="D36">
        <v>5</v>
      </c>
      <c r="E36">
        <v>214.3</v>
      </c>
      <c r="F36">
        <v>17.3797</v>
      </c>
      <c r="G36">
        <v>30.027200000000001</v>
      </c>
      <c r="H36">
        <f>F36/E36</f>
        <v>8.1099860009332711E-2</v>
      </c>
      <c r="I36">
        <f>G36/E36</f>
        <v>0.14011759216052264</v>
      </c>
      <c r="L36">
        <v>80</v>
      </c>
      <c r="M36">
        <v>64</v>
      </c>
      <c r="N36">
        <v>256</v>
      </c>
      <c r="O36">
        <v>3</v>
      </c>
      <c r="P36">
        <v>123.18</v>
      </c>
      <c r="Q36">
        <v>19.8827</v>
      </c>
      <c r="R36">
        <v>27.001300000000001</v>
      </c>
      <c r="S36">
        <f>Q36/P36</f>
        <v>0.16141175515505762</v>
      </c>
      <c r="T36">
        <f>R36/P36</f>
        <v>0.21920198084104561</v>
      </c>
      <c r="W36">
        <v>160</v>
      </c>
      <c r="X36">
        <v>64</v>
      </c>
      <c r="Y36">
        <v>512</v>
      </c>
      <c r="Z36">
        <v>4</v>
      </c>
      <c r="AA36">
        <v>191.85</v>
      </c>
      <c r="AB36">
        <v>17.4343</v>
      </c>
      <c r="AC36">
        <v>30.891400000000001</v>
      </c>
      <c r="AD36">
        <f>AB36/AA36</f>
        <v>9.0874641647120155E-2</v>
      </c>
      <c r="AE36">
        <f>AC36/AA36</f>
        <v>0.16101850403961429</v>
      </c>
      <c r="AH36">
        <v>160</v>
      </c>
      <c r="AI36">
        <v>64</v>
      </c>
      <c r="AJ36">
        <v>256</v>
      </c>
      <c r="AK36">
        <v>5</v>
      </c>
      <c r="AL36">
        <v>171.03</v>
      </c>
      <c r="AM36">
        <v>19.508299999999998</v>
      </c>
      <c r="AN36">
        <v>30.607299999999999</v>
      </c>
      <c r="AO36">
        <f>AM36/AL36</f>
        <v>0.11406361457054318</v>
      </c>
      <c r="AP36">
        <f>AN36/AL36</f>
        <v>0.1789586622230018</v>
      </c>
      <c r="AS36">
        <v>160</v>
      </c>
      <c r="AT36">
        <v>64</v>
      </c>
      <c r="AU36">
        <v>1024</v>
      </c>
      <c r="AV36">
        <v>3</v>
      </c>
      <c r="AW36">
        <v>167.24</v>
      </c>
      <c r="AX36">
        <v>17.500900000000001</v>
      </c>
      <c r="AY36">
        <v>29.171800000000001</v>
      </c>
      <c r="AZ36">
        <f>AX36/AW36</f>
        <v>0.10464541975603923</v>
      </c>
      <c r="BA36">
        <f>AY36/AW36</f>
        <v>0.17443075819182013</v>
      </c>
      <c r="BD36">
        <v>80</v>
      </c>
      <c r="BE36">
        <v>64</v>
      </c>
      <c r="BF36">
        <v>1024</v>
      </c>
      <c r="BG36">
        <v>1</v>
      </c>
      <c r="BH36">
        <v>135.93</v>
      </c>
      <c r="BI36">
        <v>15.897500000000001</v>
      </c>
      <c r="BJ36">
        <v>23.8492</v>
      </c>
      <c r="BK36">
        <f>BI36/BH36</f>
        <v>0.11695357904803944</v>
      </c>
      <c r="BL36">
        <f>BJ36/BH36</f>
        <v>0.17545207091885529</v>
      </c>
    </row>
    <row r="37" spans="1:64" x14ac:dyDescent="0.55000000000000004">
      <c r="A37">
        <v>80</v>
      </c>
      <c r="B37">
        <v>64</v>
      </c>
      <c r="C37">
        <v>1024</v>
      </c>
      <c r="D37">
        <v>4</v>
      </c>
      <c r="E37">
        <v>213.7</v>
      </c>
      <c r="F37">
        <v>16.386700000000001</v>
      </c>
      <c r="G37">
        <v>26.503799999999998</v>
      </c>
      <c r="H37">
        <f>F37/E37</f>
        <v>7.6680861020121671E-2</v>
      </c>
      <c r="I37">
        <f>G37/E37</f>
        <v>0.12402339728591483</v>
      </c>
      <c r="L37">
        <v>160</v>
      </c>
      <c r="M37">
        <v>64</v>
      </c>
      <c r="N37">
        <v>256</v>
      </c>
      <c r="O37">
        <v>3</v>
      </c>
      <c r="P37">
        <v>105.33</v>
      </c>
      <c r="Q37">
        <v>19.848199999999999</v>
      </c>
      <c r="R37">
        <v>26.910799999999998</v>
      </c>
      <c r="S37">
        <f>Q37/P37</f>
        <v>0.18843824171651</v>
      </c>
      <c r="T37">
        <f>R37/P37</f>
        <v>0.25549036361910188</v>
      </c>
      <c r="W37">
        <v>80</v>
      </c>
      <c r="X37">
        <v>64</v>
      </c>
      <c r="Y37">
        <v>512</v>
      </c>
      <c r="Z37">
        <v>3</v>
      </c>
      <c r="AA37">
        <v>165.61</v>
      </c>
      <c r="AB37">
        <v>17.428599999999999</v>
      </c>
      <c r="AC37">
        <v>33.710799999999999</v>
      </c>
      <c r="AD37">
        <f>AB37/AA37</f>
        <v>0.10523881408127528</v>
      </c>
      <c r="AE37">
        <f>AC37/AA37</f>
        <v>0.20355534086105909</v>
      </c>
      <c r="AH37">
        <v>160</v>
      </c>
      <c r="AI37">
        <v>128</v>
      </c>
      <c r="AJ37">
        <v>512</v>
      </c>
      <c r="AK37">
        <v>1</v>
      </c>
      <c r="AL37">
        <v>171.7</v>
      </c>
      <c r="AM37">
        <v>18.367599999999999</v>
      </c>
      <c r="AN37">
        <v>22.2239</v>
      </c>
      <c r="AO37">
        <f>AM37/AL37</f>
        <v>0.10697495631916133</v>
      </c>
      <c r="AP37">
        <f>AN37/AL37</f>
        <v>0.12943447874199185</v>
      </c>
      <c r="AS37">
        <v>80</v>
      </c>
      <c r="AT37">
        <v>64</v>
      </c>
      <c r="AU37">
        <v>256</v>
      </c>
      <c r="AV37">
        <v>5</v>
      </c>
      <c r="AW37">
        <v>187.11</v>
      </c>
      <c r="AX37">
        <v>19.4312</v>
      </c>
      <c r="AY37">
        <v>32.311399999999999</v>
      </c>
      <c r="AZ37">
        <f>AX37/AW37</f>
        <v>0.10384907273796162</v>
      </c>
      <c r="BA37">
        <f>AY37/AW37</f>
        <v>0.17268665490887711</v>
      </c>
      <c r="BD37">
        <v>160</v>
      </c>
      <c r="BE37">
        <v>64</v>
      </c>
      <c r="BF37">
        <v>1024</v>
      </c>
      <c r="BG37">
        <v>3</v>
      </c>
      <c r="BH37">
        <v>167.24</v>
      </c>
      <c r="BI37">
        <v>17.500900000000001</v>
      </c>
      <c r="BJ37">
        <v>29.171800000000001</v>
      </c>
      <c r="BK37">
        <f>BI37/BH37</f>
        <v>0.10464541975603923</v>
      </c>
      <c r="BL37">
        <f>BJ37/BH37</f>
        <v>0.17443075819182013</v>
      </c>
    </row>
    <row r="38" spans="1:64" x14ac:dyDescent="0.55000000000000004">
      <c r="A38">
        <v>40</v>
      </c>
      <c r="B38">
        <v>128</v>
      </c>
      <c r="C38">
        <v>1024</v>
      </c>
      <c r="D38">
        <v>1</v>
      </c>
      <c r="E38">
        <v>208.68</v>
      </c>
      <c r="F38">
        <v>15.4032</v>
      </c>
      <c r="G38">
        <v>22.326499999999999</v>
      </c>
      <c r="H38">
        <f>F38/E38</f>
        <v>7.3812535940195517E-2</v>
      </c>
      <c r="I38">
        <f>G38/E38</f>
        <v>0.10698917002108491</v>
      </c>
      <c r="L38">
        <v>40</v>
      </c>
      <c r="M38">
        <v>64</v>
      </c>
      <c r="N38">
        <v>1024</v>
      </c>
      <c r="O38">
        <v>4</v>
      </c>
      <c r="P38">
        <v>206.59</v>
      </c>
      <c r="Q38">
        <v>16.397500000000001</v>
      </c>
      <c r="R38">
        <v>26.31</v>
      </c>
      <c r="S38">
        <f>Q38/P38</f>
        <v>7.9372186456266036E-2</v>
      </c>
      <c r="T38">
        <f>R38/P38</f>
        <v>0.12735369572583377</v>
      </c>
      <c r="W38">
        <v>40</v>
      </c>
      <c r="X38">
        <v>64</v>
      </c>
      <c r="Y38">
        <v>512</v>
      </c>
      <c r="Z38">
        <v>3</v>
      </c>
      <c r="AA38">
        <v>165.89</v>
      </c>
      <c r="AB38">
        <v>17.4192</v>
      </c>
      <c r="AC38">
        <v>42.106000000000002</v>
      </c>
      <c r="AD38">
        <f>AB38/AA38</f>
        <v>0.10500452106817772</v>
      </c>
      <c r="AE38">
        <f>AC38/AA38</f>
        <v>0.25381879558743747</v>
      </c>
      <c r="AH38">
        <v>80</v>
      </c>
      <c r="AI38">
        <v>128</v>
      </c>
      <c r="AJ38">
        <v>256</v>
      </c>
      <c r="AK38">
        <v>3</v>
      </c>
      <c r="AL38">
        <v>173.58</v>
      </c>
      <c r="AM38">
        <v>19.424900000000001</v>
      </c>
      <c r="AN38">
        <v>32.217399999999998</v>
      </c>
      <c r="AO38">
        <f>AM38/AL38</f>
        <v>0.11190747782002534</v>
      </c>
      <c r="AP38">
        <f>AN38/AL38</f>
        <v>0.18560548450282288</v>
      </c>
      <c r="AS38">
        <v>80</v>
      </c>
      <c r="AT38">
        <v>64</v>
      </c>
      <c r="AU38">
        <v>512</v>
      </c>
      <c r="AV38">
        <v>2</v>
      </c>
      <c r="AW38">
        <v>153.1</v>
      </c>
      <c r="AX38">
        <v>15.7753</v>
      </c>
      <c r="AY38">
        <v>22.2653</v>
      </c>
      <c r="AZ38">
        <f>AX38/AW38</f>
        <v>0.10303919007184846</v>
      </c>
      <c r="BA38">
        <f>AY38/AW38</f>
        <v>0.14542978445460483</v>
      </c>
      <c r="BD38">
        <v>80</v>
      </c>
      <c r="BE38">
        <v>64</v>
      </c>
      <c r="BF38">
        <v>256</v>
      </c>
      <c r="BG38">
        <v>5</v>
      </c>
      <c r="BH38">
        <v>187.11</v>
      </c>
      <c r="BI38">
        <v>19.4312</v>
      </c>
      <c r="BJ38">
        <v>32.311399999999999</v>
      </c>
      <c r="BK38">
        <f>BI38/BH38</f>
        <v>0.10384907273796162</v>
      </c>
      <c r="BL38">
        <f>BJ38/BH38</f>
        <v>0.17268665490887711</v>
      </c>
    </row>
    <row r="39" spans="1:64" x14ac:dyDescent="0.55000000000000004">
      <c r="A39">
        <v>40</v>
      </c>
      <c r="B39">
        <v>64</v>
      </c>
      <c r="C39">
        <v>512</v>
      </c>
      <c r="D39">
        <v>4</v>
      </c>
      <c r="E39">
        <v>208.56</v>
      </c>
      <c r="F39">
        <v>17.0366</v>
      </c>
      <c r="G39">
        <v>30.9377</v>
      </c>
      <c r="H39">
        <f>F39/E39</f>
        <v>8.1686804756425008E-2</v>
      </c>
      <c r="I39">
        <f>G39/E39</f>
        <v>0.14833956655159186</v>
      </c>
      <c r="L39">
        <v>160</v>
      </c>
      <c r="M39">
        <v>64</v>
      </c>
      <c r="N39">
        <v>1024</v>
      </c>
      <c r="O39">
        <v>4</v>
      </c>
      <c r="P39">
        <v>205.39</v>
      </c>
      <c r="Q39">
        <v>16.5852</v>
      </c>
      <c r="R39">
        <v>26.159199999999998</v>
      </c>
      <c r="S39">
        <f>Q39/P39</f>
        <v>8.0749793076586016E-2</v>
      </c>
      <c r="T39">
        <f>R39/P39</f>
        <v>0.12736355226641999</v>
      </c>
      <c r="W39">
        <v>80</v>
      </c>
      <c r="X39">
        <v>64</v>
      </c>
      <c r="Y39">
        <v>512</v>
      </c>
      <c r="Z39">
        <v>4</v>
      </c>
      <c r="AA39">
        <v>206.71</v>
      </c>
      <c r="AB39">
        <v>17.3918</v>
      </c>
      <c r="AC39">
        <v>32.283700000000003</v>
      </c>
      <c r="AD39">
        <f>AB39/AA39</f>
        <v>8.4136229500266072E-2</v>
      </c>
      <c r="AE39">
        <f>AC39/AA39</f>
        <v>0.1561787044651928</v>
      </c>
      <c r="AH39">
        <v>80</v>
      </c>
      <c r="AI39">
        <v>64</v>
      </c>
      <c r="AJ39">
        <v>1024</v>
      </c>
      <c r="AK39">
        <v>3</v>
      </c>
      <c r="AL39">
        <v>176.85</v>
      </c>
      <c r="AM39">
        <v>17.268999999999998</v>
      </c>
      <c r="AN39">
        <v>29.835000000000001</v>
      </c>
      <c r="AO39">
        <f>AM39/AL39</f>
        <v>9.7647724059937796E-2</v>
      </c>
      <c r="AP39">
        <f>AN39/AL39</f>
        <v>0.16870229007633589</v>
      </c>
      <c r="AS39">
        <v>80</v>
      </c>
      <c r="AT39">
        <v>64</v>
      </c>
      <c r="AU39">
        <v>1024</v>
      </c>
      <c r="AV39">
        <v>2</v>
      </c>
      <c r="AW39">
        <v>163.82</v>
      </c>
      <c r="AX39">
        <v>16.790099999999999</v>
      </c>
      <c r="AY39">
        <v>32.190399999999997</v>
      </c>
      <c r="AZ39">
        <f>AX39/AW39</f>
        <v>0.10249114882187767</v>
      </c>
      <c r="BA39">
        <f>AY39/AW39</f>
        <v>0.19649859602002195</v>
      </c>
      <c r="BD39">
        <v>80</v>
      </c>
      <c r="BE39">
        <v>64</v>
      </c>
      <c r="BF39">
        <v>1024</v>
      </c>
      <c r="BG39">
        <v>3</v>
      </c>
      <c r="BH39">
        <v>176.85</v>
      </c>
      <c r="BI39">
        <v>17.268999999999998</v>
      </c>
      <c r="BJ39">
        <v>29.835000000000001</v>
      </c>
      <c r="BK39">
        <f>BI39/BH39</f>
        <v>9.7647724059937796E-2</v>
      </c>
      <c r="BL39">
        <f>BJ39/BH39</f>
        <v>0.16870229007633589</v>
      </c>
    </row>
    <row r="40" spans="1:64" x14ac:dyDescent="0.55000000000000004">
      <c r="A40">
        <v>80</v>
      </c>
      <c r="B40">
        <v>64</v>
      </c>
      <c r="C40">
        <v>512</v>
      </c>
      <c r="D40">
        <v>4</v>
      </c>
      <c r="E40">
        <v>206.71</v>
      </c>
      <c r="F40">
        <v>17.3918</v>
      </c>
      <c r="G40">
        <v>32.283700000000003</v>
      </c>
      <c r="H40">
        <f>F40/E40</f>
        <v>8.4136229500266072E-2</v>
      </c>
      <c r="I40">
        <f>G40/E40</f>
        <v>0.1561787044651928</v>
      </c>
      <c r="L40">
        <v>160</v>
      </c>
      <c r="M40">
        <v>128</v>
      </c>
      <c r="N40">
        <v>256</v>
      </c>
      <c r="O40">
        <v>1</v>
      </c>
      <c r="P40">
        <v>85.96</v>
      </c>
      <c r="Q40">
        <v>18.129100000000001</v>
      </c>
      <c r="R40">
        <v>26.043099999999999</v>
      </c>
      <c r="S40">
        <f>Q40/P40</f>
        <v>0.21090158213122384</v>
      </c>
      <c r="T40">
        <f>R40/P40</f>
        <v>0.3029676593764542</v>
      </c>
      <c r="W40" s="3">
        <v>80</v>
      </c>
      <c r="X40" s="3">
        <v>64</v>
      </c>
      <c r="Y40" s="3">
        <v>1024</v>
      </c>
      <c r="Z40" s="3">
        <v>3</v>
      </c>
      <c r="AA40" s="3">
        <v>176.85</v>
      </c>
      <c r="AB40" s="3">
        <v>17.268999999999998</v>
      </c>
      <c r="AC40" s="3">
        <v>29.835000000000001</v>
      </c>
      <c r="AD40" s="3">
        <f>AB40/AA40</f>
        <v>9.7647724059937796E-2</v>
      </c>
      <c r="AE40" s="3">
        <f>AC40/AA40</f>
        <v>0.16870229007633589</v>
      </c>
      <c r="AH40">
        <v>40</v>
      </c>
      <c r="AI40">
        <v>64</v>
      </c>
      <c r="AJ40">
        <v>256</v>
      </c>
      <c r="AK40">
        <v>4</v>
      </c>
      <c r="AL40">
        <v>178.76</v>
      </c>
      <c r="AM40">
        <v>18.849799999999998</v>
      </c>
      <c r="AN40">
        <v>41.1295</v>
      </c>
      <c r="AO40">
        <f>AM40/AL40</f>
        <v>0.10544752741105393</v>
      </c>
      <c r="AP40">
        <f>AN40/AL40</f>
        <v>0.23008223316178117</v>
      </c>
      <c r="AS40">
        <v>40</v>
      </c>
      <c r="AT40">
        <v>64</v>
      </c>
      <c r="AU40">
        <v>512</v>
      </c>
      <c r="AV40">
        <v>2</v>
      </c>
      <c r="AW40">
        <v>154.18</v>
      </c>
      <c r="AX40">
        <v>15.5085</v>
      </c>
      <c r="AY40">
        <v>22.23</v>
      </c>
      <c r="AZ40">
        <f>AX40/AW40</f>
        <v>0.10058697626151251</v>
      </c>
      <c r="BA40">
        <f>AY40/AW40</f>
        <v>0.14418212478920742</v>
      </c>
      <c r="BD40">
        <v>160</v>
      </c>
      <c r="BE40">
        <v>128</v>
      </c>
      <c r="BF40">
        <v>256</v>
      </c>
      <c r="BG40">
        <v>4</v>
      </c>
      <c r="BH40">
        <v>187.74</v>
      </c>
      <c r="BI40">
        <v>18.838799999999999</v>
      </c>
      <c r="BJ40">
        <v>31.0474</v>
      </c>
      <c r="BK40">
        <f>BI40/BH40</f>
        <v>0.10034515819750718</v>
      </c>
      <c r="BL40">
        <f>BJ40/BH40</f>
        <v>0.16537445403217213</v>
      </c>
    </row>
    <row r="41" spans="1:64" x14ac:dyDescent="0.55000000000000004">
      <c r="A41">
        <v>160</v>
      </c>
      <c r="B41">
        <v>128</v>
      </c>
      <c r="C41">
        <v>1024</v>
      </c>
      <c r="D41">
        <v>1</v>
      </c>
      <c r="E41">
        <v>206.59</v>
      </c>
      <c r="F41">
        <v>15.397500000000001</v>
      </c>
      <c r="G41">
        <v>21.971699999999998</v>
      </c>
      <c r="H41">
        <f>F41/E41</f>
        <v>7.453168110750763E-2</v>
      </c>
      <c r="I41">
        <f>G41/E41</f>
        <v>0.10635413137131515</v>
      </c>
      <c r="L41">
        <v>40</v>
      </c>
      <c r="M41">
        <v>64</v>
      </c>
      <c r="N41">
        <v>1024</v>
      </c>
      <c r="O41">
        <v>1</v>
      </c>
      <c r="P41">
        <v>129.15</v>
      </c>
      <c r="Q41">
        <v>16.0733</v>
      </c>
      <c r="R41">
        <v>24.5184</v>
      </c>
      <c r="S41">
        <f>Q41/P41</f>
        <v>0.12445451025938831</v>
      </c>
      <c r="T41">
        <f>R41/P41</f>
        <v>0.18984436701509871</v>
      </c>
      <c r="W41">
        <v>160</v>
      </c>
      <c r="X41">
        <v>64</v>
      </c>
      <c r="Y41">
        <v>1024</v>
      </c>
      <c r="Z41">
        <v>2</v>
      </c>
      <c r="AA41">
        <v>156.07</v>
      </c>
      <c r="AB41">
        <v>17.123200000000001</v>
      </c>
      <c r="AC41">
        <v>34.868099999999998</v>
      </c>
      <c r="AD41">
        <f>AB41/AA41</f>
        <v>0.10971487153200488</v>
      </c>
      <c r="AE41">
        <f>AC41/AA41</f>
        <v>0.22341321202024733</v>
      </c>
      <c r="AH41">
        <v>40</v>
      </c>
      <c r="AI41">
        <v>128</v>
      </c>
      <c r="AJ41">
        <v>256</v>
      </c>
      <c r="AK41">
        <v>2</v>
      </c>
      <c r="AL41">
        <v>186.56</v>
      </c>
      <c r="AM41">
        <v>18.637799999999999</v>
      </c>
      <c r="AN41">
        <v>32.9953</v>
      </c>
      <c r="AO41">
        <f>AM41/AL41</f>
        <v>9.9902444253859343E-2</v>
      </c>
      <c r="AP41">
        <f>AN41/AL41</f>
        <v>0.17686159948542024</v>
      </c>
      <c r="AS41">
        <v>160</v>
      </c>
      <c r="AT41">
        <v>128</v>
      </c>
      <c r="AU41">
        <v>256</v>
      </c>
      <c r="AV41">
        <v>4</v>
      </c>
      <c r="AW41">
        <v>187.74</v>
      </c>
      <c r="AX41">
        <v>18.838799999999999</v>
      </c>
      <c r="AY41">
        <v>31.0474</v>
      </c>
      <c r="AZ41">
        <f>AX41/AW41</f>
        <v>0.10034515819750718</v>
      </c>
      <c r="BA41">
        <f>AY41/AW41</f>
        <v>0.16537445403217213</v>
      </c>
      <c r="BD41">
        <v>40</v>
      </c>
      <c r="BE41">
        <v>64</v>
      </c>
      <c r="BF41">
        <v>1024</v>
      </c>
      <c r="BG41">
        <v>3</v>
      </c>
      <c r="BH41">
        <v>167.52</v>
      </c>
      <c r="BI41">
        <v>17.5595</v>
      </c>
      <c r="BJ41">
        <v>27.021999999999998</v>
      </c>
      <c r="BK41">
        <f>BI41/BH41</f>
        <v>0.1048203199617956</v>
      </c>
      <c r="BL41">
        <f>BJ41/BH41</f>
        <v>0.16130611270296083</v>
      </c>
    </row>
    <row r="42" spans="1:64" x14ac:dyDescent="0.55000000000000004">
      <c r="A42">
        <v>40</v>
      </c>
      <c r="B42">
        <v>64</v>
      </c>
      <c r="C42">
        <v>1024</v>
      </c>
      <c r="D42">
        <v>4</v>
      </c>
      <c r="E42">
        <v>206.59</v>
      </c>
      <c r="F42">
        <v>16.397500000000001</v>
      </c>
      <c r="G42">
        <v>26.31</v>
      </c>
      <c r="H42">
        <f>F42/E42</f>
        <v>7.9372186456266036E-2</v>
      </c>
      <c r="I42">
        <f>G42/E42</f>
        <v>0.12735369572583377</v>
      </c>
      <c r="L42">
        <v>80</v>
      </c>
      <c r="M42">
        <v>64</v>
      </c>
      <c r="N42">
        <v>1024</v>
      </c>
      <c r="O42">
        <v>1</v>
      </c>
      <c r="P42">
        <v>135.93</v>
      </c>
      <c r="Q42">
        <v>15.897500000000001</v>
      </c>
      <c r="R42">
        <v>23.8492</v>
      </c>
      <c r="S42">
        <f>Q42/P42</f>
        <v>0.11695357904803944</v>
      </c>
      <c r="T42">
        <f>R42/P42</f>
        <v>0.17545207091885529</v>
      </c>
      <c r="W42">
        <v>40</v>
      </c>
      <c r="X42">
        <v>64</v>
      </c>
      <c r="Y42">
        <v>512</v>
      </c>
      <c r="Z42">
        <v>4</v>
      </c>
      <c r="AA42">
        <v>208.56</v>
      </c>
      <c r="AB42">
        <v>17.0366</v>
      </c>
      <c r="AC42">
        <v>30.9377</v>
      </c>
      <c r="AD42">
        <f>AB42/AA42</f>
        <v>8.1686804756425008E-2</v>
      </c>
      <c r="AE42">
        <f>AC42/AA42</f>
        <v>0.14833956655159186</v>
      </c>
      <c r="AH42">
        <v>80</v>
      </c>
      <c r="AI42">
        <v>64</v>
      </c>
      <c r="AJ42">
        <v>256</v>
      </c>
      <c r="AK42">
        <v>5</v>
      </c>
      <c r="AL42">
        <v>187.11</v>
      </c>
      <c r="AM42">
        <v>19.4312</v>
      </c>
      <c r="AN42">
        <v>32.311399999999999</v>
      </c>
      <c r="AO42">
        <f>AM42/AL42</f>
        <v>0.10384907273796162</v>
      </c>
      <c r="AP42">
        <f>AN42/AL42</f>
        <v>0.17268665490887711</v>
      </c>
      <c r="AS42">
        <v>40</v>
      </c>
      <c r="AT42">
        <v>128</v>
      </c>
      <c r="AU42">
        <v>256</v>
      </c>
      <c r="AV42">
        <v>2</v>
      </c>
      <c r="AW42">
        <v>186.56</v>
      </c>
      <c r="AX42">
        <v>18.637799999999999</v>
      </c>
      <c r="AY42">
        <v>32.9953</v>
      </c>
      <c r="AZ42">
        <f>AX42/AW42</f>
        <v>9.9902444253859343E-2</v>
      </c>
      <c r="BA42">
        <f>AY42/AW42</f>
        <v>0.17686159948542024</v>
      </c>
      <c r="BD42">
        <v>160</v>
      </c>
      <c r="BE42">
        <v>64</v>
      </c>
      <c r="BF42">
        <v>512</v>
      </c>
      <c r="BG42">
        <v>4</v>
      </c>
      <c r="BH42">
        <v>191.85</v>
      </c>
      <c r="BI42">
        <v>17.4343</v>
      </c>
      <c r="BJ42">
        <v>30.891400000000001</v>
      </c>
      <c r="BK42">
        <f>BI42/BH42</f>
        <v>9.0874641647120155E-2</v>
      </c>
      <c r="BL42">
        <f>BJ42/BH42</f>
        <v>0.16101850403961429</v>
      </c>
    </row>
    <row r="43" spans="1:64" x14ac:dyDescent="0.55000000000000004">
      <c r="A43">
        <v>160</v>
      </c>
      <c r="B43">
        <v>128</v>
      </c>
      <c r="C43">
        <v>512</v>
      </c>
      <c r="D43">
        <v>2</v>
      </c>
      <c r="E43">
        <v>206.17</v>
      </c>
      <c r="F43">
        <v>16.346</v>
      </c>
      <c r="G43">
        <v>23.831199999999999</v>
      </c>
      <c r="H43">
        <f>F43/E43</f>
        <v>7.9284085948489111E-2</v>
      </c>
      <c r="I43">
        <f>G43/E43</f>
        <v>0.11559004704855216</v>
      </c>
      <c r="L43">
        <v>160</v>
      </c>
      <c r="M43">
        <v>128</v>
      </c>
      <c r="N43">
        <v>512</v>
      </c>
      <c r="O43">
        <v>2</v>
      </c>
      <c r="P43">
        <v>206.17</v>
      </c>
      <c r="Q43">
        <v>16.346</v>
      </c>
      <c r="R43">
        <v>23.831199999999999</v>
      </c>
      <c r="S43">
        <f>Q43/P43</f>
        <v>7.9284085948489111E-2</v>
      </c>
      <c r="T43">
        <f>R43/P43</f>
        <v>0.11559004704855216</v>
      </c>
      <c r="W43">
        <v>40</v>
      </c>
      <c r="X43">
        <v>64</v>
      </c>
      <c r="Y43">
        <v>1024</v>
      </c>
      <c r="Z43">
        <v>2</v>
      </c>
      <c r="AA43">
        <v>156.75</v>
      </c>
      <c r="AB43">
        <v>16.9236</v>
      </c>
      <c r="AC43">
        <v>37.175600000000003</v>
      </c>
      <c r="AD43">
        <f>AB43/AA43</f>
        <v>0.10796555023923446</v>
      </c>
      <c r="AE43">
        <f>AC43/AA43</f>
        <v>0.23716491228070177</v>
      </c>
      <c r="AH43">
        <v>160</v>
      </c>
      <c r="AI43">
        <v>128</v>
      </c>
      <c r="AJ43">
        <v>256</v>
      </c>
      <c r="AK43">
        <v>4</v>
      </c>
      <c r="AL43">
        <v>187.74</v>
      </c>
      <c r="AM43">
        <v>18.838799999999999</v>
      </c>
      <c r="AN43">
        <v>31.0474</v>
      </c>
      <c r="AO43">
        <f>AM43/AL43</f>
        <v>0.10034515819750718</v>
      </c>
      <c r="AP43">
        <f>AN43/AL43</f>
        <v>0.16537445403217213</v>
      </c>
      <c r="AS43">
        <v>80</v>
      </c>
      <c r="AT43">
        <v>64</v>
      </c>
      <c r="AU43">
        <v>1024</v>
      </c>
      <c r="AV43">
        <v>3</v>
      </c>
      <c r="AW43">
        <v>176.85</v>
      </c>
      <c r="AX43">
        <v>17.268999999999998</v>
      </c>
      <c r="AY43">
        <v>29.835000000000001</v>
      </c>
      <c r="AZ43">
        <f>AX43/AW43</f>
        <v>9.7647724059937796E-2</v>
      </c>
      <c r="BA43">
        <f>AY43/AW43</f>
        <v>0.16870229007633589</v>
      </c>
      <c r="BD43">
        <v>160</v>
      </c>
      <c r="BE43">
        <v>64</v>
      </c>
      <c r="BF43">
        <v>512</v>
      </c>
      <c r="BG43">
        <v>2</v>
      </c>
      <c r="BH43">
        <v>137.57</v>
      </c>
      <c r="BI43">
        <v>15.6402</v>
      </c>
      <c r="BJ43">
        <v>22.035699999999999</v>
      </c>
      <c r="BK43">
        <f>BI43/BH43</f>
        <v>0.11368903103874392</v>
      </c>
      <c r="BL43">
        <f>BJ43/BH43</f>
        <v>0.16017809115359452</v>
      </c>
    </row>
    <row r="44" spans="1:64" x14ac:dyDescent="0.55000000000000004">
      <c r="A44">
        <v>160</v>
      </c>
      <c r="B44">
        <v>64</v>
      </c>
      <c r="C44">
        <v>1024</v>
      </c>
      <c r="D44">
        <v>4</v>
      </c>
      <c r="E44">
        <v>205.39</v>
      </c>
      <c r="F44">
        <v>16.5852</v>
      </c>
      <c r="G44">
        <v>26.159199999999998</v>
      </c>
      <c r="H44">
        <f>F44/E44</f>
        <v>8.0749793076586016E-2</v>
      </c>
      <c r="I44">
        <f>G44/E44</f>
        <v>0.12736355226641999</v>
      </c>
      <c r="L44">
        <v>80</v>
      </c>
      <c r="M44">
        <v>64</v>
      </c>
      <c r="N44">
        <v>512</v>
      </c>
      <c r="O44">
        <v>1</v>
      </c>
      <c r="P44">
        <v>126.16</v>
      </c>
      <c r="Q44">
        <v>18.2881</v>
      </c>
      <c r="R44">
        <v>23.6706</v>
      </c>
      <c r="S44">
        <f>Q44/P44</f>
        <v>0.14495957514267596</v>
      </c>
      <c r="T44">
        <f>R44/P44</f>
        <v>0.18762365250475588</v>
      </c>
      <c r="W44">
        <v>80</v>
      </c>
      <c r="X44">
        <v>64</v>
      </c>
      <c r="Y44">
        <v>1024</v>
      </c>
      <c r="Z44">
        <v>2</v>
      </c>
      <c r="AA44">
        <v>163.82</v>
      </c>
      <c r="AB44">
        <v>16.790099999999999</v>
      </c>
      <c r="AC44">
        <v>32.190399999999997</v>
      </c>
      <c r="AD44">
        <f>AB44/AA44</f>
        <v>0.10249114882187767</v>
      </c>
      <c r="AE44">
        <f>AC44/AA44</f>
        <v>0.19649859602002195</v>
      </c>
      <c r="AH44">
        <v>160</v>
      </c>
      <c r="AI44">
        <v>64</v>
      </c>
      <c r="AJ44">
        <v>512</v>
      </c>
      <c r="AK44">
        <v>4</v>
      </c>
      <c r="AL44">
        <v>191.85</v>
      </c>
      <c r="AM44">
        <v>17.4343</v>
      </c>
      <c r="AN44">
        <v>30.891400000000001</v>
      </c>
      <c r="AO44">
        <f>AM44/AL44</f>
        <v>9.0874641647120155E-2</v>
      </c>
      <c r="AP44">
        <f>AN44/AL44</f>
        <v>0.16101850403961429</v>
      </c>
      <c r="AS44">
        <v>40</v>
      </c>
      <c r="AT44">
        <v>64</v>
      </c>
      <c r="AU44">
        <v>256</v>
      </c>
      <c r="AV44">
        <v>5</v>
      </c>
      <c r="AW44">
        <v>205.23</v>
      </c>
      <c r="AX44">
        <v>18.850100000000001</v>
      </c>
      <c r="AY44">
        <v>41.6676</v>
      </c>
      <c r="AZ44">
        <f>AX44/AW44</f>
        <v>9.1848657603664188E-2</v>
      </c>
      <c r="BA44">
        <f>AY44/AW44</f>
        <v>0.20302879695950884</v>
      </c>
      <c r="BD44">
        <v>80</v>
      </c>
      <c r="BE44">
        <v>64</v>
      </c>
      <c r="BF44">
        <v>512</v>
      </c>
      <c r="BG44">
        <v>4</v>
      </c>
      <c r="BH44">
        <v>206.71</v>
      </c>
      <c r="BI44">
        <v>17.3918</v>
      </c>
      <c r="BJ44">
        <v>32.283700000000003</v>
      </c>
      <c r="BK44">
        <f>BI44/BH44</f>
        <v>8.4136229500266072E-2</v>
      </c>
      <c r="BL44">
        <f>BJ44/BH44</f>
        <v>0.1561787044651928</v>
      </c>
    </row>
    <row r="45" spans="1:64" x14ac:dyDescent="0.55000000000000004">
      <c r="A45">
        <v>40</v>
      </c>
      <c r="B45">
        <v>128</v>
      </c>
      <c r="C45">
        <v>256</v>
      </c>
      <c r="D45">
        <v>3</v>
      </c>
      <c r="E45">
        <v>205.25</v>
      </c>
      <c r="F45">
        <v>18.837800000000001</v>
      </c>
      <c r="G45">
        <v>41.18</v>
      </c>
      <c r="H45">
        <f>F45/E45</f>
        <v>9.1779780755176621E-2</v>
      </c>
      <c r="I45">
        <f>G45/E45</f>
        <v>0.20063337393422656</v>
      </c>
      <c r="L45">
        <v>160</v>
      </c>
      <c r="M45">
        <v>64</v>
      </c>
      <c r="N45">
        <v>512</v>
      </c>
      <c r="O45">
        <v>1</v>
      </c>
      <c r="P45">
        <v>116.54</v>
      </c>
      <c r="Q45">
        <v>18.278500000000001</v>
      </c>
      <c r="R45">
        <v>23.447900000000001</v>
      </c>
      <c r="S45">
        <f>Q45/P45</f>
        <v>0.1568431439848979</v>
      </c>
      <c r="T45">
        <f>R45/P45</f>
        <v>0.20120044619873004</v>
      </c>
      <c r="W45">
        <v>160</v>
      </c>
      <c r="X45">
        <v>64</v>
      </c>
      <c r="Y45">
        <v>1024</v>
      </c>
      <c r="Z45">
        <v>4</v>
      </c>
      <c r="AA45">
        <v>205.39</v>
      </c>
      <c r="AB45">
        <v>16.5852</v>
      </c>
      <c r="AC45">
        <v>26.159199999999998</v>
      </c>
      <c r="AD45">
        <f>AB45/AA45</f>
        <v>8.0749793076586016E-2</v>
      </c>
      <c r="AE45">
        <f>AC45/AA45</f>
        <v>0.12736355226641999</v>
      </c>
      <c r="AH45">
        <v>80</v>
      </c>
      <c r="AI45">
        <v>128</v>
      </c>
      <c r="AJ45">
        <v>512</v>
      </c>
      <c r="AK45">
        <v>1</v>
      </c>
      <c r="AL45">
        <v>201.96</v>
      </c>
      <c r="AM45">
        <v>18.443300000000001</v>
      </c>
      <c r="AN45">
        <v>22.253799999999998</v>
      </c>
      <c r="AO45">
        <f>AM45/AL45</f>
        <v>9.1321548821548817E-2</v>
      </c>
      <c r="AP45">
        <f>AN45/AL45</f>
        <v>0.11018914636561694</v>
      </c>
      <c r="AS45">
        <v>40</v>
      </c>
      <c r="AT45">
        <v>128</v>
      </c>
      <c r="AU45">
        <v>256</v>
      </c>
      <c r="AV45">
        <v>3</v>
      </c>
      <c r="AW45">
        <v>205.25</v>
      </c>
      <c r="AX45">
        <v>18.837800000000001</v>
      </c>
      <c r="AY45">
        <v>41.18</v>
      </c>
      <c r="AZ45">
        <f>AX45/AW45</f>
        <v>9.1779780755176621E-2</v>
      </c>
      <c r="BA45">
        <f>AY45/AW45</f>
        <v>0.20063337393422656</v>
      </c>
      <c r="BD45">
        <v>40</v>
      </c>
      <c r="BE45">
        <v>64</v>
      </c>
      <c r="BF45">
        <v>512</v>
      </c>
      <c r="BG45">
        <v>4</v>
      </c>
      <c r="BH45">
        <v>208.56</v>
      </c>
      <c r="BI45">
        <v>17.0366</v>
      </c>
      <c r="BJ45">
        <v>30.9377</v>
      </c>
      <c r="BK45">
        <f>BI45/BH45</f>
        <v>8.1686804756425008E-2</v>
      </c>
      <c r="BL45">
        <f>BJ45/BH45</f>
        <v>0.14833956655159186</v>
      </c>
    </row>
    <row r="46" spans="1:64" x14ac:dyDescent="0.55000000000000004">
      <c r="A46">
        <v>40</v>
      </c>
      <c r="B46">
        <v>64</v>
      </c>
      <c r="C46">
        <v>256</v>
      </c>
      <c r="D46">
        <v>5</v>
      </c>
      <c r="E46">
        <v>205.23</v>
      </c>
      <c r="F46">
        <v>18.850100000000001</v>
      </c>
      <c r="G46">
        <v>41.6676</v>
      </c>
      <c r="H46">
        <f>F46/E46</f>
        <v>9.1848657603664188E-2</v>
      </c>
      <c r="I46">
        <f>G46/E46</f>
        <v>0.20302879695950884</v>
      </c>
      <c r="L46">
        <v>160</v>
      </c>
      <c r="M46">
        <v>64</v>
      </c>
      <c r="N46">
        <v>1024</v>
      </c>
      <c r="O46">
        <v>1</v>
      </c>
      <c r="P46">
        <v>127.51</v>
      </c>
      <c r="Q46">
        <v>15.9217</v>
      </c>
      <c r="R46">
        <v>23.3307</v>
      </c>
      <c r="S46">
        <f>Q46/P46</f>
        <v>0.12486628499725511</v>
      </c>
      <c r="T46">
        <f>R46/P46</f>
        <v>0.18297153164457688</v>
      </c>
      <c r="W46">
        <v>40</v>
      </c>
      <c r="X46">
        <v>64</v>
      </c>
      <c r="Y46">
        <v>1024</v>
      </c>
      <c r="Z46">
        <v>4</v>
      </c>
      <c r="AA46">
        <v>206.59</v>
      </c>
      <c r="AB46">
        <v>16.397500000000001</v>
      </c>
      <c r="AC46">
        <v>26.31</v>
      </c>
      <c r="AD46">
        <f>AB46/AA46</f>
        <v>7.9372186456266036E-2</v>
      </c>
      <c r="AE46">
        <f>AC46/AA46</f>
        <v>0.12735369572583377</v>
      </c>
      <c r="AH46">
        <v>40</v>
      </c>
      <c r="AI46">
        <v>128</v>
      </c>
      <c r="AJ46">
        <v>512</v>
      </c>
      <c r="AK46">
        <v>1</v>
      </c>
      <c r="AL46">
        <v>204.76</v>
      </c>
      <c r="AM46">
        <v>18.472300000000001</v>
      </c>
      <c r="AN46">
        <v>22.5032</v>
      </c>
      <c r="AO46">
        <f>AM46/AL46</f>
        <v>9.0214397343231112E-2</v>
      </c>
      <c r="AP46">
        <f>AN46/AL46</f>
        <v>0.1099003711662434</v>
      </c>
      <c r="AS46">
        <v>80</v>
      </c>
      <c r="AT46">
        <v>128</v>
      </c>
      <c r="AU46">
        <v>512</v>
      </c>
      <c r="AV46">
        <v>1</v>
      </c>
      <c r="AW46">
        <v>201.96</v>
      </c>
      <c r="AX46">
        <v>18.443300000000001</v>
      </c>
      <c r="AY46">
        <v>22.253799999999998</v>
      </c>
      <c r="AZ46">
        <f>AX46/AW46</f>
        <v>9.1321548821548817E-2</v>
      </c>
      <c r="BA46">
        <f>AY46/AW46</f>
        <v>0.11018914636561694</v>
      </c>
      <c r="BD46">
        <v>80</v>
      </c>
      <c r="BE46">
        <v>64</v>
      </c>
      <c r="BF46">
        <v>512</v>
      </c>
      <c r="BG46">
        <v>2</v>
      </c>
      <c r="BH46">
        <v>153.1</v>
      </c>
      <c r="BI46">
        <v>15.7753</v>
      </c>
      <c r="BJ46">
        <v>22.2653</v>
      </c>
      <c r="BK46">
        <f>BI46/BH46</f>
        <v>0.10303919007184846</v>
      </c>
      <c r="BL46">
        <f>BJ46/BH46</f>
        <v>0.14542978445460483</v>
      </c>
    </row>
    <row r="47" spans="1:64" x14ac:dyDescent="0.55000000000000004">
      <c r="A47">
        <v>40</v>
      </c>
      <c r="B47">
        <v>128</v>
      </c>
      <c r="C47">
        <v>512</v>
      </c>
      <c r="D47">
        <v>1</v>
      </c>
      <c r="E47">
        <v>204.76</v>
      </c>
      <c r="F47">
        <v>18.472300000000001</v>
      </c>
      <c r="G47">
        <v>22.5032</v>
      </c>
      <c r="H47">
        <f>F47/E47</f>
        <v>9.0214397343231112E-2</v>
      </c>
      <c r="I47">
        <f>G47/E47</f>
        <v>0.1099003711662434</v>
      </c>
      <c r="L47">
        <v>40</v>
      </c>
      <c r="M47">
        <v>64</v>
      </c>
      <c r="N47">
        <v>512</v>
      </c>
      <c r="O47">
        <v>1</v>
      </c>
      <c r="P47">
        <v>128.19</v>
      </c>
      <c r="Q47">
        <v>18.495699999999999</v>
      </c>
      <c r="R47">
        <v>22.565000000000001</v>
      </c>
      <c r="S47">
        <f>Q47/P47</f>
        <v>0.14428348545128325</v>
      </c>
      <c r="T47">
        <f>R47/P47</f>
        <v>0.17602777127701069</v>
      </c>
      <c r="W47">
        <v>160</v>
      </c>
      <c r="X47">
        <v>128</v>
      </c>
      <c r="Y47">
        <v>512</v>
      </c>
      <c r="Z47">
        <v>2</v>
      </c>
      <c r="AA47">
        <v>206.17</v>
      </c>
      <c r="AB47">
        <v>16.346</v>
      </c>
      <c r="AC47">
        <v>23.831199999999999</v>
      </c>
      <c r="AD47">
        <f>AB47/AA47</f>
        <v>7.9284085948489111E-2</v>
      </c>
      <c r="AE47">
        <f>AC47/AA47</f>
        <v>0.11559004704855216</v>
      </c>
      <c r="AH47">
        <v>40</v>
      </c>
      <c r="AI47">
        <v>64</v>
      </c>
      <c r="AJ47">
        <v>256</v>
      </c>
      <c r="AK47">
        <v>5</v>
      </c>
      <c r="AL47">
        <v>205.23</v>
      </c>
      <c r="AM47">
        <v>18.850100000000001</v>
      </c>
      <c r="AN47">
        <v>41.6676</v>
      </c>
      <c r="AO47">
        <f>AM47/AL47</f>
        <v>9.1848657603664188E-2</v>
      </c>
      <c r="AP47">
        <f>AN47/AL47</f>
        <v>0.20302879695950884</v>
      </c>
      <c r="AS47">
        <v>160</v>
      </c>
      <c r="AT47">
        <v>64</v>
      </c>
      <c r="AU47">
        <v>512</v>
      </c>
      <c r="AV47">
        <v>4</v>
      </c>
      <c r="AW47">
        <v>191.85</v>
      </c>
      <c r="AX47">
        <v>17.4343</v>
      </c>
      <c r="AY47">
        <v>30.891400000000001</v>
      </c>
      <c r="AZ47">
        <f>AX47/AW47</f>
        <v>9.0874641647120155E-2</v>
      </c>
      <c r="BA47">
        <f>AY47/AW47</f>
        <v>0.16101850403961429</v>
      </c>
      <c r="BD47">
        <v>40</v>
      </c>
      <c r="BE47">
        <v>64</v>
      </c>
      <c r="BF47">
        <v>512</v>
      </c>
      <c r="BG47">
        <v>2</v>
      </c>
      <c r="BH47">
        <v>154.18</v>
      </c>
      <c r="BI47">
        <v>15.5085</v>
      </c>
      <c r="BJ47">
        <v>22.23</v>
      </c>
      <c r="BK47">
        <f>BI47/BH47</f>
        <v>0.10058697626151251</v>
      </c>
      <c r="BL47">
        <f>BJ47/BH47</f>
        <v>0.14418212478920742</v>
      </c>
    </row>
    <row r="48" spans="1:64" x14ac:dyDescent="0.55000000000000004">
      <c r="A48">
        <v>80</v>
      </c>
      <c r="B48">
        <v>128</v>
      </c>
      <c r="C48">
        <v>512</v>
      </c>
      <c r="D48">
        <v>1</v>
      </c>
      <c r="E48">
        <v>201.96</v>
      </c>
      <c r="F48">
        <v>18.443300000000001</v>
      </c>
      <c r="G48">
        <v>22.253799999999998</v>
      </c>
      <c r="H48">
        <f>F48/E48</f>
        <v>9.1321548821548817E-2</v>
      </c>
      <c r="I48">
        <f>G48/E48</f>
        <v>0.11018914636561694</v>
      </c>
      <c r="L48">
        <v>40</v>
      </c>
      <c r="M48">
        <v>128</v>
      </c>
      <c r="N48">
        <v>512</v>
      </c>
      <c r="O48">
        <v>1</v>
      </c>
      <c r="P48">
        <v>204.76</v>
      </c>
      <c r="Q48">
        <v>18.472300000000001</v>
      </c>
      <c r="R48">
        <v>22.5032</v>
      </c>
      <c r="S48">
        <f>Q48/P48</f>
        <v>9.0214397343231112E-2</v>
      </c>
      <c r="T48">
        <f>R48/P48</f>
        <v>0.1099003711662434</v>
      </c>
      <c r="W48">
        <v>40</v>
      </c>
      <c r="X48">
        <v>64</v>
      </c>
      <c r="Y48">
        <v>1024</v>
      </c>
      <c r="Z48">
        <v>1</v>
      </c>
      <c r="AA48">
        <v>129.15</v>
      </c>
      <c r="AB48">
        <v>16.0733</v>
      </c>
      <c r="AC48">
        <v>24.5184</v>
      </c>
      <c r="AD48">
        <f>AB48/AA48</f>
        <v>0.12445451025938831</v>
      </c>
      <c r="AE48">
        <f>AC48/AA48</f>
        <v>0.18984436701509871</v>
      </c>
      <c r="AH48">
        <v>40</v>
      </c>
      <c r="AI48">
        <v>128</v>
      </c>
      <c r="AJ48">
        <v>256</v>
      </c>
      <c r="AK48">
        <v>3</v>
      </c>
      <c r="AL48">
        <v>205.25</v>
      </c>
      <c r="AM48">
        <v>18.837800000000001</v>
      </c>
      <c r="AN48">
        <v>41.18</v>
      </c>
      <c r="AO48">
        <f>AM48/AL48</f>
        <v>9.1779780755176621E-2</v>
      </c>
      <c r="AP48">
        <f>AN48/AL48</f>
        <v>0.20063337393422656</v>
      </c>
      <c r="AS48">
        <v>40</v>
      </c>
      <c r="AT48">
        <v>128</v>
      </c>
      <c r="AU48">
        <v>512</v>
      </c>
      <c r="AV48">
        <v>1</v>
      </c>
      <c r="AW48">
        <v>204.76</v>
      </c>
      <c r="AX48">
        <v>18.472300000000001</v>
      </c>
      <c r="AY48">
        <v>22.5032</v>
      </c>
      <c r="AZ48">
        <f>AX48/AW48</f>
        <v>9.0214397343231112E-2</v>
      </c>
      <c r="BA48">
        <f>AY48/AW48</f>
        <v>0.1099003711662434</v>
      </c>
      <c r="BD48">
        <v>160</v>
      </c>
      <c r="BE48">
        <v>128</v>
      </c>
      <c r="BF48">
        <v>512</v>
      </c>
      <c r="BG48">
        <v>1</v>
      </c>
      <c r="BH48">
        <v>171.7</v>
      </c>
      <c r="BI48">
        <v>18.367599999999999</v>
      </c>
      <c r="BJ48">
        <v>22.2239</v>
      </c>
      <c r="BK48">
        <f>BI48/BH48</f>
        <v>0.10697495631916133</v>
      </c>
      <c r="BL48">
        <f>BJ48/BH48</f>
        <v>0.12943447874199185</v>
      </c>
    </row>
    <row r="49" spans="1:64" x14ac:dyDescent="0.55000000000000004">
      <c r="A49">
        <v>160</v>
      </c>
      <c r="B49">
        <v>64</v>
      </c>
      <c r="C49">
        <v>512</v>
      </c>
      <c r="D49">
        <v>4</v>
      </c>
      <c r="E49">
        <v>191.85</v>
      </c>
      <c r="F49">
        <v>17.4343</v>
      </c>
      <c r="G49">
        <v>30.891400000000001</v>
      </c>
      <c r="H49">
        <f>F49/E49</f>
        <v>9.0874641647120155E-2</v>
      </c>
      <c r="I49">
        <f>G49/E49</f>
        <v>0.16101850403961429</v>
      </c>
      <c r="L49">
        <v>40</v>
      </c>
      <c r="M49">
        <v>128</v>
      </c>
      <c r="N49">
        <v>1024</v>
      </c>
      <c r="O49">
        <v>1</v>
      </c>
      <c r="P49">
        <v>208.68</v>
      </c>
      <c r="Q49">
        <v>15.4032</v>
      </c>
      <c r="R49">
        <v>22.326499999999999</v>
      </c>
      <c r="S49">
        <f>Q49/P49</f>
        <v>7.3812535940195517E-2</v>
      </c>
      <c r="T49">
        <f>R49/P49</f>
        <v>0.10698917002108491</v>
      </c>
      <c r="W49">
        <v>160</v>
      </c>
      <c r="X49">
        <v>64</v>
      </c>
      <c r="Y49">
        <v>1024</v>
      </c>
      <c r="Z49">
        <v>1</v>
      </c>
      <c r="AA49">
        <v>127.51</v>
      </c>
      <c r="AB49">
        <v>15.9217</v>
      </c>
      <c r="AC49">
        <v>23.3307</v>
      </c>
      <c r="AD49">
        <f>AB49/AA49</f>
        <v>0.12486628499725511</v>
      </c>
      <c r="AE49">
        <f>AC49/AA49</f>
        <v>0.18297153164457688</v>
      </c>
      <c r="AH49">
        <v>160</v>
      </c>
      <c r="AI49">
        <v>64</v>
      </c>
      <c r="AJ49">
        <v>1024</v>
      </c>
      <c r="AK49">
        <v>4</v>
      </c>
      <c r="AL49">
        <v>205.39</v>
      </c>
      <c r="AM49">
        <v>16.5852</v>
      </c>
      <c r="AN49">
        <v>26.159199999999998</v>
      </c>
      <c r="AO49">
        <f>AM49/AL49</f>
        <v>8.0749793076586016E-2</v>
      </c>
      <c r="AP49">
        <f>AN49/AL49</f>
        <v>0.12736355226641999</v>
      </c>
      <c r="AS49">
        <v>80</v>
      </c>
      <c r="AT49">
        <v>64</v>
      </c>
      <c r="AU49">
        <v>512</v>
      </c>
      <c r="AV49">
        <v>4</v>
      </c>
      <c r="AW49">
        <v>206.71</v>
      </c>
      <c r="AX49">
        <v>17.3918</v>
      </c>
      <c r="AY49">
        <v>32.283700000000003</v>
      </c>
      <c r="AZ49">
        <f>AX49/AW49</f>
        <v>8.4136229500266072E-2</v>
      </c>
      <c r="BA49">
        <f>AY49/AW49</f>
        <v>0.1561787044651928</v>
      </c>
      <c r="BD49">
        <v>160</v>
      </c>
      <c r="BE49">
        <v>64</v>
      </c>
      <c r="BF49">
        <v>1024</v>
      </c>
      <c r="BG49">
        <v>4</v>
      </c>
      <c r="BH49">
        <v>205.39</v>
      </c>
      <c r="BI49">
        <v>16.5852</v>
      </c>
      <c r="BJ49">
        <v>26.159199999999998</v>
      </c>
      <c r="BK49">
        <f>BI49/BH49</f>
        <v>8.0749793076586016E-2</v>
      </c>
      <c r="BL49">
        <f>BJ49/BH49</f>
        <v>0.12736355226641999</v>
      </c>
    </row>
    <row r="50" spans="1:64" x14ac:dyDescent="0.55000000000000004">
      <c r="A50">
        <v>160</v>
      </c>
      <c r="B50">
        <v>128</v>
      </c>
      <c r="C50">
        <v>256</v>
      </c>
      <c r="D50">
        <v>4</v>
      </c>
      <c r="E50">
        <v>187.74</v>
      </c>
      <c r="F50">
        <v>18.838799999999999</v>
      </c>
      <c r="G50">
        <v>31.0474</v>
      </c>
      <c r="H50">
        <f>F50/E50</f>
        <v>0.10034515819750718</v>
      </c>
      <c r="I50">
        <f>G50/E50</f>
        <v>0.16537445403217213</v>
      </c>
      <c r="L50">
        <v>80</v>
      </c>
      <c r="M50">
        <v>64</v>
      </c>
      <c r="N50">
        <v>512</v>
      </c>
      <c r="O50">
        <v>2</v>
      </c>
      <c r="P50">
        <v>153.1</v>
      </c>
      <c r="Q50">
        <v>15.7753</v>
      </c>
      <c r="R50">
        <v>22.2653</v>
      </c>
      <c r="S50">
        <f>Q50/P50</f>
        <v>0.10303919007184846</v>
      </c>
      <c r="T50">
        <f>R50/P50</f>
        <v>0.14542978445460483</v>
      </c>
      <c r="W50">
        <v>80</v>
      </c>
      <c r="X50">
        <v>64</v>
      </c>
      <c r="Y50">
        <v>1024</v>
      </c>
      <c r="Z50">
        <v>1</v>
      </c>
      <c r="AA50">
        <v>135.93</v>
      </c>
      <c r="AB50">
        <v>15.897500000000001</v>
      </c>
      <c r="AC50">
        <v>23.8492</v>
      </c>
      <c r="AD50">
        <f>AB50/AA50</f>
        <v>0.11695357904803944</v>
      </c>
      <c r="AE50">
        <f>AC50/AA50</f>
        <v>0.17545207091885529</v>
      </c>
      <c r="AH50">
        <v>160</v>
      </c>
      <c r="AI50">
        <v>128</v>
      </c>
      <c r="AJ50">
        <v>512</v>
      </c>
      <c r="AK50">
        <v>2</v>
      </c>
      <c r="AL50">
        <v>206.17</v>
      </c>
      <c r="AM50">
        <v>16.346</v>
      </c>
      <c r="AN50">
        <v>23.831199999999999</v>
      </c>
      <c r="AO50">
        <f>AM50/AL50</f>
        <v>7.9284085948489111E-2</v>
      </c>
      <c r="AP50">
        <f>AN50/AL50</f>
        <v>0.11559004704855216</v>
      </c>
      <c r="AS50">
        <v>40</v>
      </c>
      <c r="AT50">
        <v>64</v>
      </c>
      <c r="AU50">
        <v>512</v>
      </c>
      <c r="AV50">
        <v>4</v>
      </c>
      <c r="AW50">
        <v>208.56</v>
      </c>
      <c r="AX50">
        <v>17.0366</v>
      </c>
      <c r="AY50">
        <v>30.9377</v>
      </c>
      <c r="AZ50">
        <f>AX50/AW50</f>
        <v>8.1686804756425008E-2</v>
      </c>
      <c r="BA50">
        <f>AY50/AW50</f>
        <v>0.14833956655159186</v>
      </c>
      <c r="BD50">
        <v>40</v>
      </c>
      <c r="BE50">
        <v>64</v>
      </c>
      <c r="BF50">
        <v>1024</v>
      </c>
      <c r="BG50">
        <v>4</v>
      </c>
      <c r="BH50">
        <v>206.59</v>
      </c>
      <c r="BI50">
        <v>16.397500000000001</v>
      </c>
      <c r="BJ50">
        <v>26.31</v>
      </c>
      <c r="BK50">
        <f>BI50/BH50</f>
        <v>7.9372186456266036E-2</v>
      </c>
      <c r="BL50">
        <f>BJ50/BH50</f>
        <v>0.12735369572583377</v>
      </c>
    </row>
    <row r="51" spans="1:64" x14ac:dyDescent="0.55000000000000004">
      <c r="A51">
        <v>80</v>
      </c>
      <c r="B51">
        <v>64</v>
      </c>
      <c r="C51">
        <v>256</v>
      </c>
      <c r="D51">
        <v>5</v>
      </c>
      <c r="E51">
        <v>187.11</v>
      </c>
      <c r="F51">
        <v>19.4312</v>
      </c>
      <c r="G51">
        <v>32.311399999999999</v>
      </c>
      <c r="H51">
        <f>F51/E51</f>
        <v>0.10384907273796162</v>
      </c>
      <c r="I51">
        <f>G51/E51</f>
        <v>0.17268665490887711</v>
      </c>
      <c r="L51">
        <v>80</v>
      </c>
      <c r="M51">
        <v>128</v>
      </c>
      <c r="N51">
        <v>512</v>
      </c>
      <c r="O51">
        <v>1</v>
      </c>
      <c r="P51">
        <v>201.96</v>
      </c>
      <c r="Q51">
        <v>18.443300000000001</v>
      </c>
      <c r="R51">
        <v>22.253799999999998</v>
      </c>
      <c r="S51">
        <f>Q51/P51</f>
        <v>9.1321548821548817E-2</v>
      </c>
      <c r="T51">
        <f>R51/P51</f>
        <v>0.11018914636561694</v>
      </c>
      <c r="W51">
        <v>80</v>
      </c>
      <c r="X51">
        <v>64</v>
      </c>
      <c r="Y51">
        <v>512</v>
      </c>
      <c r="Z51">
        <v>2</v>
      </c>
      <c r="AA51">
        <v>153.1</v>
      </c>
      <c r="AB51">
        <v>15.7753</v>
      </c>
      <c r="AC51">
        <v>22.2653</v>
      </c>
      <c r="AD51">
        <f>AB51/AA51</f>
        <v>0.10303919007184846</v>
      </c>
      <c r="AE51">
        <f>AC51/AA51</f>
        <v>0.14542978445460483</v>
      </c>
      <c r="AH51">
        <v>40</v>
      </c>
      <c r="AI51">
        <v>64</v>
      </c>
      <c r="AJ51">
        <v>1024</v>
      </c>
      <c r="AK51">
        <v>4</v>
      </c>
      <c r="AL51">
        <v>206.59</v>
      </c>
      <c r="AM51">
        <v>16.397500000000001</v>
      </c>
      <c r="AN51">
        <v>26.31</v>
      </c>
      <c r="AO51">
        <f>AM51/AL51</f>
        <v>7.9372186456266036E-2</v>
      </c>
      <c r="AP51">
        <f>AN51/AL51</f>
        <v>0.12735369572583377</v>
      </c>
      <c r="AS51">
        <v>160</v>
      </c>
      <c r="AT51">
        <v>64</v>
      </c>
      <c r="AU51">
        <v>1024</v>
      </c>
      <c r="AV51">
        <v>4</v>
      </c>
      <c r="AW51">
        <v>205.39</v>
      </c>
      <c r="AX51">
        <v>16.5852</v>
      </c>
      <c r="AY51">
        <v>26.159199999999998</v>
      </c>
      <c r="AZ51">
        <f>AX51/AW51</f>
        <v>8.0749793076586016E-2</v>
      </c>
      <c r="BA51">
        <f>AY51/AW51</f>
        <v>0.12736355226641999</v>
      </c>
      <c r="BD51">
        <v>160</v>
      </c>
      <c r="BE51">
        <v>128</v>
      </c>
      <c r="BF51">
        <v>512</v>
      </c>
      <c r="BG51">
        <v>2</v>
      </c>
      <c r="BH51">
        <v>206.17</v>
      </c>
      <c r="BI51">
        <v>16.346</v>
      </c>
      <c r="BJ51">
        <v>23.831199999999999</v>
      </c>
      <c r="BK51">
        <f>BI51/BH51</f>
        <v>7.9284085948489111E-2</v>
      </c>
      <c r="BL51">
        <f>BJ51/BH51</f>
        <v>0.11559004704855216</v>
      </c>
    </row>
    <row r="52" spans="1:64" x14ac:dyDescent="0.55000000000000004">
      <c r="A52">
        <v>40</v>
      </c>
      <c r="B52">
        <v>128</v>
      </c>
      <c r="C52">
        <v>256</v>
      </c>
      <c r="D52">
        <v>2</v>
      </c>
      <c r="E52">
        <v>186.56</v>
      </c>
      <c r="F52">
        <v>18.637799999999999</v>
      </c>
      <c r="G52">
        <v>32.9953</v>
      </c>
      <c r="H52">
        <f>F52/E52</f>
        <v>9.9902444253859343E-2</v>
      </c>
      <c r="I52">
        <f>G52/E52</f>
        <v>0.17686159948542024</v>
      </c>
      <c r="L52">
        <v>40</v>
      </c>
      <c r="M52">
        <v>64</v>
      </c>
      <c r="N52">
        <v>512</v>
      </c>
      <c r="O52">
        <v>2</v>
      </c>
      <c r="P52">
        <v>154.18</v>
      </c>
      <c r="Q52">
        <v>15.5085</v>
      </c>
      <c r="R52">
        <v>22.23</v>
      </c>
      <c r="S52">
        <f>Q52/P52</f>
        <v>0.10058697626151251</v>
      </c>
      <c r="T52">
        <f>R52/P52</f>
        <v>0.14418212478920742</v>
      </c>
      <c r="W52">
        <v>160</v>
      </c>
      <c r="X52">
        <v>64</v>
      </c>
      <c r="Y52">
        <v>512</v>
      </c>
      <c r="Z52">
        <v>2</v>
      </c>
      <c r="AA52">
        <v>137.57</v>
      </c>
      <c r="AB52">
        <v>15.6402</v>
      </c>
      <c r="AC52">
        <v>22.035699999999999</v>
      </c>
      <c r="AD52">
        <f>AB52/AA52</f>
        <v>0.11368903103874392</v>
      </c>
      <c r="AE52">
        <f>AC52/AA52</f>
        <v>0.16017809115359452</v>
      </c>
      <c r="AH52">
        <v>160</v>
      </c>
      <c r="AI52">
        <v>128</v>
      </c>
      <c r="AJ52">
        <v>1024</v>
      </c>
      <c r="AK52">
        <v>1</v>
      </c>
      <c r="AL52">
        <v>206.59</v>
      </c>
      <c r="AM52">
        <v>15.397500000000001</v>
      </c>
      <c r="AN52">
        <v>21.971699999999998</v>
      </c>
      <c r="AO52">
        <f>AM52/AL52</f>
        <v>7.453168110750763E-2</v>
      </c>
      <c r="AP52">
        <f>AN52/AL52</f>
        <v>0.10635413137131515</v>
      </c>
      <c r="AR52" s="1" t="s">
        <v>22</v>
      </c>
      <c r="AS52">
        <v>40</v>
      </c>
      <c r="AT52">
        <v>64</v>
      </c>
      <c r="AU52">
        <v>1024</v>
      </c>
      <c r="AV52">
        <v>4</v>
      </c>
      <c r="AW52">
        <v>206.59</v>
      </c>
      <c r="AX52">
        <v>16.397500000000001</v>
      </c>
      <c r="AY52">
        <v>26.31</v>
      </c>
      <c r="AZ52">
        <f>AX52/AW52</f>
        <v>7.9372186456266036E-2</v>
      </c>
      <c r="BA52">
        <f>AY52/AW52</f>
        <v>0.12735369572583377</v>
      </c>
      <c r="BD52">
        <v>80</v>
      </c>
      <c r="BE52">
        <v>128</v>
      </c>
      <c r="BF52">
        <v>512</v>
      </c>
      <c r="BG52">
        <v>1</v>
      </c>
      <c r="BH52">
        <v>201.96</v>
      </c>
      <c r="BI52">
        <v>18.443300000000001</v>
      </c>
      <c r="BJ52">
        <v>22.253799999999998</v>
      </c>
      <c r="BK52">
        <f>BI52/BH52</f>
        <v>9.1321548821548817E-2</v>
      </c>
      <c r="BL52">
        <f>BJ52/BH52</f>
        <v>0.11018914636561694</v>
      </c>
    </row>
    <row r="53" spans="1:64" x14ac:dyDescent="0.55000000000000004">
      <c r="A53">
        <v>40</v>
      </c>
      <c r="B53">
        <v>64</v>
      </c>
      <c r="C53">
        <v>256</v>
      </c>
      <c r="D53">
        <v>4</v>
      </c>
      <c r="E53">
        <v>178.76</v>
      </c>
      <c r="F53">
        <v>18.849799999999998</v>
      </c>
      <c r="G53">
        <v>41.1295</v>
      </c>
      <c r="H53">
        <f>F53/E53</f>
        <v>0.10544752741105393</v>
      </c>
      <c r="I53">
        <f>G53/E53</f>
        <v>0.23008223316178117</v>
      </c>
      <c r="K53" s="1" t="s">
        <v>22</v>
      </c>
      <c r="L53">
        <v>160</v>
      </c>
      <c r="M53">
        <v>128</v>
      </c>
      <c r="N53">
        <v>512</v>
      </c>
      <c r="O53">
        <v>1</v>
      </c>
      <c r="P53">
        <v>171.7</v>
      </c>
      <c r="Q53">
        <v>18.367599999999999</v>
      </c>
      <c r="R53">
        <v>22.2239</v>
      </c>
      <c r="S53">
        <f>Q53/P53</f>
        <v>0.10697495631916133</v>
      </c>
      <c r="T53">
        <f>R53/P53</f>
        <v>0.12943447874199185</v>
      </c>
      <c r="V53" s="1" t="s">
        <v>22</v>
      </c>
      <c r="W53">
        <v>40</v>
      </c>
      <c r="X53">
        <v>64</v>
      </c>
      <c r="Y53">
        <v>512</v>
      </c>
      <c r="Z53">
        <v>2</v>
      </c>
      <c r="AA53">
        <v>154.18</v>
      </c>
      <c r="AB53">
        <v>15.5085</v>
      </c>
      <c r="AC53">
        <v>22.23</v>
      </c>
      <c r="AD53">
        <f>AB53/AA53</f>
        <v>0.10058697626151251</v>
      </c>
      <c r="AE53">
        <f>AC53/AA53</f>
        <v>0.14418212478920742</v>
      </c>
      <c r="AG53" s="1" t="s">
        <v>22</v>
      </c>
      <c r="AH53">
        <v>80</v>
      </c>
      <c r="AI53">
        <v>64</v>
      </c>
      <c r="AJ53">
        <v>512</v>
      </c>
      <c r="AK53">
        <v>4</v>
      </c>
      <c r="AL53">
        <v>206.71</v>
      </c>
      <c r="AM53">
        <v>17.3918</v>
      </c>
      <c r="AN53">
        <v>32.283700000000003</v>
      </c>
      <c r="AO53">
        <f>AM53/AL53</f>
        <v>8.4136229500266072E-2</v>
      </c>
      <c r="AP53">
        <f>AN53/AL53</f>
        <v>0.1561787044651928</v>
      </c>
      <c r="AR53" s="2" t="s">
        <v>23</v>
      </c>
      <c r="AS53">
        <v>160</v>
      </c>
      <c r="AT53">
        <v>128</v>
      </c>
      <c r="AU53">
        <v>512</v>
      </c>
      <c r="AV53">
        <v>2</v>
      </c>
      <c r="AW53">
        <v>206.17</v>
      </c>
      <c r="AX53">
        <v>16.346</v>
      </c>
      <c r="AY53">
        <v>23.831199999999999</v>
      </c>
      <c r="AZ53">
        <f>AX53/AW53</f>
        <v>7.9284085948489111E-2</v>
      </c>
      <c r="BA53">
        <f>AY53/AW53</f>
        <v>0.11559004704855216</v>
      </c>
      <c r="BC53" s="1" t="s">
        <v>22</v>
      </c>
      <c r="BD53">
        <v>40</v>
      </c>
      <c r="BE53">
        <v>128</v>
      </c>
      <c r="BF53">
        <v>512</v>
      </c>
      <c r="BG53">
        <v>1</v>
      </c>
      <c r="BH53">
        <v>204.76</v>
      </c>
      <c r="BI53">
        <v>18.472300000000001</v>
      </c>
      <c r="BJ53">
        <v>22.5032</v>
      </c>
      <c r="BK53">
        <f>BI53/BH53</f>
        <v>9.0214397343231112E-2</v>
      </c>
      <c r="BL53">
        <f>BJ53/BH53</f>
        <v>0.1099003711662434</v>
      </c>
    </row>
    <row r="54" spans="1:64" x14ac:dyDescent="0.55000000000000004">
      <c r="A54">
        <v>80</v>
      </c>
      <c r="B54">
        <v>64</v>
      </c>
      <c r="C54">
        <v>1024</v>
      </c>
      <c r="D54">
        <v>3</v>
      </c>
      <c r="E54">
        <v>176.85</v>
      </c>
      <c r="F54">
        <v>17.268999999999998</v>
      </c>
      <c r="G54">
        <v>29.835000000000001</v>
      </c>
      <c r="H54">
        <f>F54/E54</f>
        <v>9.7647724059937796E-2</v>
      </c>
      <c r="I54">
        <f>G54/E54</f>
        <v>0.16870229007633589</v>
      </c>
      <c r="K54" s="2" t="s">
        <v>23</v>
      </c>
      <c r="L54">
        <v>160</v>
      </c>
      <c r="M54">
        <v>64</v>
      </c>
      <c r="N54">
        <v>512</v>
      </c>
      <c r="O54">
        <v>2</v>
      </c>
      <c r="P54">
        <v>137.57</v>
      </c>
      <c r="Q54">
        <v>15.6402</v>
      </c>
      <c r="R54">
        <v>22.035699999999999</v>
      </c>
      <c r="S54">
        <f>Q54/P54</f>
        <v>0.11368903103874392</v>
      </c>
      <c r="T54">
        <f>R54/P54</f>
        <v>0.16017809115359452</v>
      </c>
      <c r="V54" s="2" t="s">
        <v>23</v>
      </c>
      <c r="W54">
        <v>40</v>
      </c>
      <c r="X54">
        <v>128</v>
      </c>
      <c r="Y54">
        <v>1024</v>
      </c>
      <c r="Z54">
        <v>1</v>
      </c>
      <c r="AA54">
        <v>208.68</v>
      </c>
      <c r="AB54">
        <v>15.4032</v>
      </c>
      <c r="AC54">
        <v>22.326499999999999</v>
      </c>
      <c r="AD54">
        <f>AB54/AA54</f>
        <v>7.3812535940195517E-2</v>
      </c>
      <c r="AE54">
        <f>AC54/AA54</f>
        <v>0.10698917002108491</v>
      </c>
      <c r="AG54" s="2" t="s">
        <v>23</v>
      </c>
      <c r="AH54">
        <v>40</v>
      </c>
      <c r="AI54">
        <v>64</v>
      </c>
      <c r="AJ54">
        <v>512</v>
      </c>
      <c r="AK54">
        <v>4</v>
      </c>
      <c r="AL54">
        <v>208.56</v>
      </c>
      <c r="AM54">
        <v>17.0366</v>
      </c>
      <c r="AN54">
        <v>30.9377</v>
      </c>
      <c r="AO54">
        <f>AM54/AL54</f>
        <v>8.1686804756425008E-2</v>
      </c>
      <c r="AP54">
        <f>AN54/AL54</f>
        <v>0.14833956655159186</v>
      </c>
      <c r="AR54" s="3" t="s">
        <v>24</v>
      </c>
      <c r="AS54">
        <v>160</v>
      </c>
      <c r="AT54">
        <v>128</v>
      </c>
      <c r="AU54">
        <v>1024</v>
      </c>
      <c r="AV54">
        <v>1</v>
      </c>
      <c r="AW54">
        <v>206.59</v>
      </c>
      <c r="AX54">
        <v>15.397500000000001</v>
      </c>
      <c r="AY54">
        <v>21.971699999999998</v>
      </c>
      <c r="AZ54">
        <f>AX54/AW54</f>
        <v>7.453168110750763E-2</v>
      </c>
      <c r="BA54">
        <f>AY54/AW54</f>
        <v>0.10635413137131515</v>
      </c>
      <c r="BC54" s="2" t="s">
        <v>23</v>
      </c>
      <c r="BD54">
        <v>40</v>
      </c>
      <c r="BE54">
        <v>128</v>
      </c>
      <c r="BF54">
        <v>1024</v>
      </c>
      <c r="BG54">
        <v>1</v>
      </c>
      <c r="BH54">
        <v>208.68</v>
      </c>
      <c r="BI54">
        <v>15.4032</v>
      </c>
      <c r="BJ54">
        <v>22.326499999999999</v>
      </c>
      <c r="BK54">
        <f>BI54/BH54</f>
        <v>7.3812535940195517E-2</v>
      </c>
      <c r="BL54">
        <f>BJ54/BH54</f>
        <v>0.10698917002108491</v>
      </c>
    </row>
    <row r="55" spans="1:64" x14ac:dyDescent="0.55000000000000004">
      <c r="A55">
        <v>80</v>
      </c>
      <c r="B55">
        <v>128</v>
      </c>
      <c r="C55">
        <v>256</v>
      </c>
      <c r="D55">
        <v>3</v>
      </c>
      <c r="E55">
        <v>173.58</v>
      </c>
      <c r="F55">
        <v>19.424900000000001</v>
      </c>
      <c r="G55">
        <v>32.217399999999998</v>
      </c>
      <c r="H55">
        <f>F55/E55</f>
        <v>0.11190747782002534</v>
      </c>
      <c r="I55">
        <f>G55/E55</f>
        <v>0.18560548450282288</v>
      </c>
      <c r="K55" s="3" t="s">
        <v>24</v>
      </c>
      <c r="L55">
        <v>160</v>
      </c>
      <c r="M55">
        <v>128</v>
      </c>
      <c r="N55">
        <v>1024</v>
      </c>
      <c r="O55">
        <v>1</v>
      </c>
      <c r="P55">
        <v>206.59</v>
      </c>
      <c r="Q55">
        <v>15.397500000000001</v>
      </c>
      <c r="R55">
        <v>21.971699999999998</v>
      </c>
      <c r="S55">
        <f>Q55/P55</f>
        <v>7.453168110750763E-2</v>
      </c>
      <c r="T55">
        <f>R55/P55</f>
        <v>0.10635413137131515</v>
      </c>
      <c r="V55" s="3" t="s">
        <v>24</v>
      </c>
      <c r="W55">
        <v>160</v>
      </c>
      <c r="X55">
        <v>128</v>
      </c>
      <c r="Y55">
        <v>1024</v>
      </c>
      <c r="Z55">
        <v>1</v>
      </c>
      <c r="AA55">
        <v>206.59</v>
      </c>
      <c r="AB55">
        <v>15.397500000000001</v>
      </c>
      <c r="AC55">
        <v>21.971699999999998</v>
      </c>
      <c r="AD55">
        <f>AB55/AA55</f>
        <v>7.453168110750763E-2</v>
      </c>
      <c r="AE55">
        <f>AC55/AA55</f>
        <v>0.10635413137131515</v>
      </c>
      <c r="AG55" s="3" t="s">
        <v>24</v>
      </c>
      <c r="AH55">
        <v>40</v>
      </c>
      <c r="AI55">
        <v>128</v>
      </c>
      <c r="AJ55">
        <v>1024</v>
      </c>
      <c r="AK55">
        <v>1</v>
      </c>
      <c r="AL55">
        <v>208.68</v>
      </c>
      <c r="AM55">
        <v>15.4032</v>
      </c>
      <c r="AN55">
        <v>22.326499999999999</v>
      </c>
      <c r="AO55">
        <f>AM55/AL55</f>
        <v>7.3812535940195517E-2</v>
      </c>
      <c r="AP55">
        <f>AN55/AL55</f>
        <v>0.10698917002108491</v>
      </c>
      <c r="AS55">
        <v>40</v>
      </c>
      <c r="AT55">
        <v>128</v>
      </c>
      <c r="AU55">
        <v>1024</v>
      </c>
      <c r="AV55">
        <v>1</v>
      </c>
      <c r="AW55">
        <v>208.68</v>
      </c>
      <c r="AX55">
        <v>15.4032</v>
      </c>
      <c r="AY55">
        <v>22.326499999999999</v>
      </c>
      <c r="AZ55">
        <f>AX55/AW55</f>
        <v>7.3812535940195517E-2</v>
      </c>
      <c r="BA55">
        <f>AY55/AW55</f>
        <v>0.10698917002108491</v>
      </c>
      <c r="BC55" s="3" t="s">
        <v>24</v>
      </c>
      <c r="BD55">
        <v>160</v>
      </c>
      <c r="BE55">
        <v>128</v>
      </c>
      <c r="BF55">
        <v>1024</v>
      </c>
      <c r="BG55">
        <v>1</v>
      </c>
      <c r="BH55">
        <v>206.59</v>
      </c>
      <c r="BI55">
        <v>15.397500000000001</v>
      </c>
      <c r="BJ55">
        <v>21.971699999999998</v>
      </c>
      <c r="BK55">
        <f>BI55/BH55</f>
        <v>7.453168110750763E-2</v>
      </c>
      <c r="BL55">
        <f>BJ55/BH55</f>
        <v>0.10635413137131515</v>
      </c>
    </row>
    <row r="56" spans="1:64" x14ac:dyDescent="0.55000000000000004">
      <c r="A56">
        <v>160</v>
      </c>
      <c r="B56">
        <v>128</v>
      </c>
      <c r="C56">
        <v>512</v>
      </c>
      <c r="D56">
        <v>1</v>
      </c>
      <c r="E56">
        <v>171.7</v>
      </c>
      <c r="F56">
        <v>18.367599999999999</v>
      </c>
      <c r="G56">
        <v>22.2239</v>
      </c>
      <c r="H56">
        <f>F56/E56</f>
        <v>0.10697495631916133</v>
      </c>
      <c r="I56">
        <f>G56/E56</f>
        <v>0.12943447874199185</v>
      </c>
    </row>
    <row r="57" spans="1:64" x14ac:dyDescent="0.55000000000000004">
      <c r="A57">
        <v>160</v>
      </c>
      <c r="B57">
        <v>64</v>
      </c>
      <c r="C57">
        <v>256</v>
      </c>
      <c r="D57">
        <v>5</v>
      </c>
      <c r="E57">
        <v>171.03</v>
      </c>
      <c r="F57">
        <v>19.508299999999998</v>
      </c>
      <c r="G57">
        <v>30.607299999999999</v>
      </c>
      <c r="H57">
        <f>F57/E57</f>
        <v>0.11406361457054318</v>
      </c>
      <c r="I57">
        <f>G57/E57</f>
        <v>0.1789586622230018</v>
      </c>
    </row>
    <row r="58" spans="1:64" x14ac:dyDescent="0.55000000000000004">
      <c r="A58">
        <v>40</v>
      </c>
      <c r="B58">
        <v>64</v>
      </c>
      <c r="C58">
        <v>1024</v>
      </c>
      <c r="D58">
        <v>3</v>
      </c>
      <c r="E58">
        <v>167.52</v>
      </c>
      <c r="F58">
        <v>17.5595</v>
      </c>
      <c r="G58">
        <v>27.021999999999998</v>
      </c>
      <c r="H58">
        <f>F58/E58</f>
        <v>0.1048203199617956</v>
      </c>
      <c r="I58">
        <f>G58/E58</f>
        <v>0.16130611270296083</v>
      </c>
      <c r="K58" t="s">
        <v>14</v>
      </c>
      <c r="L58" s="1">
        <v>160</v>
      </c>
      <c r="M58">
        <v>64</v>
      </c>
      <c r="N58" s="1">
        <v>1024</v>
      </c>
      <c r="O58">
        <v>2</v>
      </c>
      <c r="P58">
        <v>156.07</v>
      </c>
      <c r="Q58">
        <v>17.123200000000001</v>
      </c>
      <c r="R58">
        <v>34.868099999999998</v>
      </c>
      <c r="S58">
        <f>Q58/P58</f>
        <v>0.10971487153200488</v>
      </c>
      <c r="T58">
        <f>R58/P58</f>
        <v>0.22341321202024733</v>
      </c>
    </row>
    <row r="59" spans="1:64" x14ac:dyDescent="0.55000000000000004">
      <c r="A59">
        <v>160</v>
      </c>
      <c r="B59">
        <v>64</v>
      </c>
      <c r="C59">
        <v>1024</v>
      </c>
      <c r="D59">
        <v>3</v>
      </c>
      <c r="E59">
        <v>167.24</v>
      </c>
      <c r="F59">
        <v>17.500900000000001</v>
      </c>
      <c r="G59">
        <v>29.171800000000001</v>
      </c>
      <c r="H59">
        <f>F59/E59</f>
        <v>0.10464541975603923</v>
      </c>
      <c r="I59">
        <f>G59/E59</f>
        <v>0.17443075819182013</v>
      </c>
      <c r="K59" t="s">
        <v>16</v>
      </c>
      <c r="L59" s="1">
        <v>160</v>
      </c>
      <c r="M59">
        <v>64</v>
      </c>
      <c r="N59" s="1">
        <v>512</v>
      </c>
      <c r="O59">
        <v>3</v>
      </c>
      <c r="P59">
        <v>151.80000000000001</v>
      </c>
      <c r="Q59">
        <v>17.692699999999999</v>
      </c>
      <c r="R59">
        <v>41.718899999999998</v>
      </c>
      <c r="S59">
        <v>0.11655270092226612</v>
      </c>
      <c r="T59">
        <v>0.2748280632411067</v>
      </c>
    </row>
    <row r="60" spans="1:64" x14ac:dyDescent="0.55000000000000004">
      <c r="A60">
        <v>40</v>
      </c>
      <c r="B60">
        <v>64</v>
      </c>
      <c r="C60">
        <v>512</v>
      </c>
      <c r="D60">
        <v>3</v>
      </c>
      <c r="E60">
        <v>165.89</v>
      </c>
      <c r="F60">
        <v>17.4192</v>
      </c>
      <c r="G60">
        <v>42.106000000000002</v>
      </c>
      <c r="H60">
        <f>F60/E60</f>
        <v>0.10500452106817772</v>
      </c>
      <c r="I60">
        <f>G60/E60</f>
        <v>0.25381879558743747</v>
      </c>
      <c r="K60" t="s">
        <v>15</v>
      </c>
      <c r="L60" s="1">
        <v>160</v>
      </c>
      <c r="M60">
        <v>64</v>
      </c>
      <c r="N60" s="1">
        <v>256</v>
      </c>
      <c r="O60">
        <v>4</v>
      </c>
      <c r="P60">
        <v>144.80000000000001</v>
      </c>
      <c r="Q60">
        <v>19.236699999999999</v>
      </c>
      <c r="R60">
        <v>41.510899999999999</v>
      </c>
      <c r="S60">
        <f>Q60/P60</f>
        <v>0.13285013812154695</v>
      </c>
      <c r="T60">
        <f>R60/P60</f>
        <v>0.28667748618784528</v>
      </c>
    </row>
    <row r="61" spans="1:64" x14ac:dyDescent="0.55000000000000004">
      <c r="A61">
        <v>80</v>
      </c>
      <c r="B61">
        <v>64</v>
      </c>
      <c r="C61">
        <v>512</v>
      </c>
      <c r="D61">
        <v>3</v>
      </c>
      <c r="E61">
        <v>165.61</v>
      </c>
      <c r="F61">
        <v>17.428599999999999</v>
      </c>
      <c r="G61">
        <v>33.710799999999999</v>
      </c>
      <c r="H61">
        <f>F61/E61</f>
        <v>0.10523881408127528</v>
      </c>
      <c r="I61">
        <f>G61/E61</f>
        <v>0.20355534086105909</v>
      </c>
      <c r="K61" t="s">
        <v>17</v>
      </c>
      <c r="L61" s="1">
        <v>80</v>
      </c>
      <c r="M61">
        <v>64</v>
      </c>
      <c r="N61" s="1">
        <v>1024</v>
      </c>
      <c r="O61">
        <v>2</v>
      </c>
      <c r="P61">
        <v>163.82</v>
      </c>
      <c r="Q61">
        <v>16.790099999999999</v>
      </c>
      <c r="R61">
        <v>32.190399999999997</v>
      </c>
      <c r="S61">
        <f>Q61/P61</f>
        <v>0.10249114882187767</v>
      </c>
      <c r="T61">
        <f>R61/P61</f>
        <v>0.19649859602002195</v>
      </c>
    </row>
    <row r="62" spans="1:64" x14ac:dyDescent="0.55000000000000004">
      <c r="A62">
        <v>80</v>
      </c>
      <c r="B62">
        <v>64</v>
      </c>
      <c r="C62">
        <v>1024</v>
      </c>
      <c r="D62">
        <v>2</v>
      </c>
      <c r="E62">
        <v>163.82</v>
      </c>
      <c r="F62">
        <v>16.790099999999999</v>
      </c>
      <c r="G62">
        <v>32.190399999999997</v>
      </c>
      <c r="H62">
        <f>F62/E62</f>
        <v>0.10249114882187767</v>
      </c>
      <c r="I62">
        <f>G62/E62</f>
        <v>0.19649859602002195</v>
      </c>
      <c r="L62" s="1">
        <v>80</v>
      </c>
      <c r="M62">
        <v>64</v>
      </c>
      <c r="N62" s="1">
        <v>512</v>
      </c>
      <c r="O62">
        <v>3</v>
      </c>
      <c r="P62">
        <v>165.61</v>
      </c>
      <c r="Q62">
        <v>17.428599999999999</v>
      </c>
      <c r="R62">
        <v>33.710799999999999</v>
      </c>
      <c r="S62">
        <f>Q62/P62</f>
        <v>0.10523881408127528</v>
      </c>
      <c r="T62">
        <f>R62/P62</f>
        <v>0.20355534086105909</v>
      </c>
    </row>
    <row r="63" spans="1:64" x14ac:dyDescent="0.55000000000000004">
      <c r="A63">
        <v>80</v>
      </c>
      <c r="B63">
        <v>64</v>
      </c>
      <c r="C63">
        <v>256</v>
      </c>
      <c r="D63">
        <v>4</v>
      </c>
      <c r="E63">
        <v>162.34</v>
      </c>
      <c r="F63">
        <v>19.1587</v>
      </c>
      <c r="G63">
        <v>41.773499999999999</v>
      </c>
      <c r="H63">
        <f>F63/E63</f>
        <v>0.11801589257114697</v>
      </c>
      <c r="I63">
        <f>G63/E63</f>
        <v>0.25732105457681409</v>
      </c>
      <c r="L63" s="1">
        <v>80</v>
      </c>
      <c r="M63">
        <v>64</v>
      </c>
      <c r="N63" s="1">
        <v>256</v>
      </c>
      <c r="O63">
        <v>4</v>
      </c>
      <c r="P63">
        <v>162.34</v>
      </c>
      <c r="Q63">
        <v>19.1587</v>
      </c>
      <c r="R63">
        <v>41.773499999999999</v>
      </c>
      <c r="S63">
        <v>0.11801589257114697</v>
      </c>
      <c r="T63">
        <v>0.25732105457681409</v>
      </c>
    </row>
    <row r="64" spans="1:64" x14ac:dyDescent="0.55000000000000004">
      <c r="A64">
        <v>40</v>
      </c>
      <c r="B64">
        <v>64</v>
      </c>
      <c r="C64">
        <v>1024</v>
      </c>
      <c r="D64">
        <v>2</v>
      </c>
      <c r="E64">
        <v>156.75</v>
      </c>
      <c r="F64">
        <v>16.9236</v>
      </c>
      <c r="G64">
        <v>37.175600000000003</v>
      </c>
      <c r="H64">
        <f>F64/E64</f>
        <v>0.10796555023923446</v>
      </c>
      <c r="I64">
        <f>G64/E64</f>
        <v>0.23716491228070177</v>
      </c>
      <c r="L64" s="1">
        <v>40</v>
      </c>
      <c r="M64">
        <v>64</v>
      </c>
      <c r="N64" s="1">
        <v>1024</v>
      </c>
      <c r="O64">
        <v>2</v>
      </c>
      <c r="P64">
        <v>156.75</v>
      </c>
      <c r="Q64">
        <v>16.9236</v>
      </c>
      <c r="R64">
        <v>37.175600000000003</v>
      </c>
      <c r="S64">
        <f>Q64/P64</f>
        <v>0.10796555023923446</v>
      </c>
      <c r="T64">
        <f>R64/P64</f>
        <v>0.23716491228070177</v>
      </c>
    </row>
    <row r="65" spans="1:20" x14ac:dyDescent="0.55000000000000004">
      <c r="A65">
        <v>160</v>
      </c>
      <c r="B65">
        <v>64</v>
      </c>
      <c r="C65">
        <v>1024</v>
      </c>
      <c r="D65">
        <v>2</v>
      </c>
      <c r="E65">
        <v>156.07</v>
      </c>
      <c r="F65">
        <v>17.123200000000001</v>
      </c>
      <c r="G65">
        <v>34.868099999999998</v>
      </c>
      <c r="H65">
        <f>F65/E65</f>
        <v>0.10971487153200488</v>
      </c>
      <c r="I65">
        <f>G65/E65</f>
        <v>0.22341321202024733</v>
      </c>
      <c r="L65" s="1">
        <v>40</v>
      </c>
      <c r="M65">
        <v>64</v>
      </c>
      <c r="N65" s="1">
        <v>512</v>
      </c>
      <c r="O65">
        <v>3</v>
      </c>
      <c r="P65">
        <v>165.89</v>
      </c>
      <c r="Q65">
        <v>17.4192</v>
      </c>
      <c r="R65">
        <v>42.106000000000002</v>
      </c>
      <c r="S65">
        <v>0.10500452106817772</v>
      </c>
      <c r="T65">
        <v>0.25381879558743747</v>
      </c>
    </row>
    <row r="66" spans="1:20" x14ac:dyDescent="0.55000000000000004">
      <c r="A66">
        <v>80</v>
      </c>
      <c r="B66">
        <v>128</v>
      </c>
      <c r="C66">
        <v>256</v>
      </c>
      <c r="D66">
        <v>2</v>
      </c>
      <c r="E66">
        <v>155.33000000000001</v>
      </c>
      <c r="F66">
        <v>18.946000000000002</v>
      </c>
      <c r="G66">
        <v>33.285400000000003</v>
      </c>
      <c r="H66">
        <f>F66/E66</f>
        <v>0.1219725745187665</v>
      </c>
      <c r="I66">
        <f>G66/E66</f>
        <v>0.21428828944827141</v>
      </c>
      <c r="L66" s="1">
        <v>40</v>
      </c>
      <c r="M66">
        <v>64</v>
      </c>
      <c r="N66" s="1">
        <v>256</v>
      </c>
      <c r="O66">
        <v>5</v>
      </c>
      <c r="P66">
        <v>205.23</v>
      </c>
      <c r="Q66">
        <v>18.850100000000001</v>
      </c>
      <c r="R66">
        <v>41.6676</v>
      </c>
      <c r="S66">
        <f>Q66/P66</f>
        <v>9.1848657603664188E-2</v>
      </c>
      <c r="T66">
        <f>R66/P66</f>
        <v>0.20302879695950884</v>
      </c>
    </row>
    <row r="67" spans="1:20" x14ac:dyDescent="0.55000000000000004">
      <c r="A67">
        <v>40</v>
      </c>
      <c r="B67">
        <v>64</v>
      </c>
      <c r="C67">
        <v>512</v>
      </c>
      <c r="D67">
        <v>2</v>
      </c>
      <c r="E67">
        <v>154.18</v>
      </c>
      <c r="F67">
        <v>15.5085</v>
      </c>
      <c r="G67">
        <v>22.23</v>
      </c>
      <c r="H67">
        <f>F67/E67</f>
        <v>0.10058697626151251</v>
      </c>
      <c r="I67">
        <f>G67/E67</f>
        <v>0.14418212478920742</v>
      </c>
    </row>
    <row r="68" spans="1:20" x14ac:dyDescent="0.55000000000000004">
      <c r="A68">
        <v>80</v>
      </c>
      <c r="B68">
        <v>64</v>
      </c>
      <c r="C68">
        <v>512</v>
      </c>
      <c r="D68">
        <v>2</v>
      </c>
      <c r="E68">
        <v>153.1</v>
      </c>
      <c r="F68">
        <v>15.7753</v>
      </c>
      <c r="G68">
        <v>22.2653</v>
      </c>
      <c r="H68">
        <f>F68/E68</f>
        <v>0.10303919007184846</v>
      </c>
      <c r="I68">
        <f>G68/E68</f>
        <v>0.14542978445460483</v>
      </c>
    </row>
    <row r="69" spans="1:20" x14ac:dyDescent="0.55000000000000004">
      <c r="A69">
        <v>40</v>
      </c>
      <c r="B69">
        <v>128</v>
      </c>
      <c r="C69">
        <v>256</v>
      </c>
      <c r="D69">
        <v>1</v>
      </c>
      <c r="E69">
        <v>152.4</v>
      </c>
      <c r="F69">
        <v>18.611000000000001</v>
      </c>
      <c r="G69">
        <v>32.618000000000002</v>
      </c>
      <c r="H69">
        <f>F69/E69</f>
        <v>0.12211942257217848</v>
      </c>
      <c r="I69">
        <f>G69/E69</f>
        <v>0.21402887139107613</v>
      </c>
    </row>
    <row r="70" spans="1:20" x14ac:dyDescent="0.55000000000000004">
      <c r="A70">
        <v>160</v>
      </c>
      <c r="B70">
        <v>64</v>
      </c>
      <c r="C70">
        <v>512</v>
      </c>
      <c r="D70">
        <v>3</v>
      </c>
      <c r="E70">
        <v>151.80000000000001</v>
      </c>
      <c r="F70">
        <v>17.692699999999999</v>
      </c>
      <c r="G70">
        <v>41.718899999999998</v>
      </c>
      <c r="H70">
        <f>F70/E70</f>
        <v>0.11655270092226612</v>
      </c>
      <c r="I70">
        <f>G70/E70</f>
        <v>0.2748280632411067</v>
      </c>
    </row>
    <row r="71" spans="1:20" x14ac:dyDescent="0.55000000000000004">
      <c r="A71">
        <v>160</v>
      </c>
      <c r="B71">
        <v>64</v>
      </c>
      <c r="C71">
        <v>256</v>
      </c>
      <c r="D71">
        <v>4</v>
      </c>
      <c r="E71">
        <v>144.80000000000001</v>
      </c>
      <c r="F71">
        <v>19.236699999999999</v>
      </c>
      <c r="G71">
        <v>41.510899999999999</v>
      </c>
      <c r="H71">
        <f>F71/E71</f>
        <v>0.13285013812154695</v>
      </c>
      <c r="I71">
        <f>G71/E71</f>
        <v>0.28667748618784528</v>
      </c>
    </row>
    <row r="72" spans="1:20" x14ac:dyDescent="0.55000000000000004">
      <c r="A72">
        <v>40</v>
      </c>
      <c r="B72">
        <v>64</v>
      </c>
      <c r="C72">
        <v>256</v>
      </c>
      <c r="D72">
        <v>3</v>
      </c>
      <c r="E72">
        <v>140.19</v>
      </c>
      <c r="F72">
        <v>18.872199999999999</v>
      </c>
      <c r="G72">
        <v>33.431899999999999</v>
      </c>
      <c r="H72">
        <f>F72/E72</f>
        <v>0.13461873172123545</v>
      </c>
      <c r="I72">
        <f>G72/E72</f>
        <v>0.23847564020258222</v>
      </c>
    </row>
    <row r="73" spans="1:20" x14ac:dyDescent="0.55000000000000004">
      <c r="A73">
        <v>160</v>
      </c>
      <c r="B73">
        <v>64</v>
      </c>
      <c r="C73">
        <v>512</v>
      </c>
      <c r="D73">
        <v>2</v>
      </c>
      <c r="E73">
        <v>137.57</v>
      </c>
      <c r="F73">
        <v>15.6402</v>
      </c>
      <c r="G73">
        <v>22.035699999999999</v>
      </c>
      <c r="H73">
        <f>F73/E73</f>
        <v>0.11368903103874392</v>
      </c>
      <c r="I73">
        <f>G73/E73</f>
        <v>0.16017809115359452</v>
      </c>
    </row>
    <row r="74" spans="1:20" x14ac:dyDescent="0.55000000000000004">
      <c r="A74">
        <v>160</v>
      </c>
      <c r="B74">
        <v>128</v>
      </c>
      <c r="C74">
        <v>256</v>
      </c>
      <c r="D74">
        <v>3</v>
      </c>
      <c r="E74">
        <v>136.84</v>
      </c>
      <c r="F74">
        <v>19.5258</v>
      </c>
      <c r="G74">
        <v>30.761600000000001</v>
      </c>
      <c r="H74">
        <f>F74/E74</f>
        <v>0.14269073370359545</v>
      </c>
      <c r="I74">
        <f>G74/E74</f>
        <v>0.22479976615024846</v>
      </c>
    </row>
    <row r="75" spans="1:20" x14ac:dyDescent="0.55000000000000004">
      <c r="A75">
        <v>80</v>
      </c>
      <c r="B75">
        <v>64</v>
      </c>
      <c r="C75">
        <v>1024</v>
      </c>
      <c r="D75">
        <v>1</v>
      </c>
      <c r="E75">
        <v>135.93</v>
      </c>
      <c r="F75">
        <v>15.897500000000001</v>
      </c>
      <c r="G75">
        <v>23.8492</v>
      </c>
      <c r="H75">
        <f>F75/E75</f>
        <v>0.11695357904803944</v>
      </c>
      <c r="I75">
        <f>G75/E75</f>
        <v>0.17545207091885529</v>
      </c>
    </row>
    <row r="76" spans="1:20" x14ac:dyDescent="0.55000000000000004">
      <c r="A76">
        <v>40</v>
      </c>
      <c r="B76">
        <v>64</v>
      </c>
      <c r="C76">
        <v>1024</v>
      </c>
      <c r="D76">
        <v>1</v>
      </c>
      <c r="E76">
        <v>129.15</v>
      </c>
      <c r="F76">
        <v>16.0733</v>
      </c>
      <c r="G76">
        <v>24.5184</v>
      </c>
      <c r="H76">
        <f>F76/E76</f>
        <v>0.12445451025938831</v>
      </c>
      <c r="I76">
        <f>G76/E76</f>
        <v>0.18984436701509871</v>
      </c>
    </row>
    <row r="77" spans="1:20" x14ac:dyDescent="0.55000000000000004">
      <c r="A77">
        <v>40</v>
      </c>
      <c r="B77">
        <v>64</v>
      </c>
      <c r="C77">
        <v>256</v>
      </c>
      <c r="D77">
        <v>2</v>
      </c>
      <c r="E77">
        <v>128.44999999999999</v>
      </c>
      <c r="F77">
        <v>18.742000000000001</v>
      </c>
      <c r="G77">
        <v>35.345399999999998</v>
      </c>
      <c r="H77">
        <f>F77/E77</f>
        <v>0.14590891397430908</v>
      </c>
      <c r="I77">
        <f>G77/E77</f>
        <v>0.27516854807318025</v>
      </c>
    </row>
    <row r="78" spans="1:20" x14ac:dyDescent="0.55000000000000004">
      <c r="A78">
        <v>40</v>
      </c>
      <c r="B78">
        <v>64</v>
      </c>
      <c r="C78">
        <v>512</v>
      </c>
      <c r="D78">
        <v>1</v>
      </c>
      <c r="E78">
        <v>128.19</v>
      </c>
      <c r="F78">
        <v>18.495699999999999</v>
      </c>
      <c r="G78">
        <v>22.565000000000001</v>
      </c>
      <c r="H78">
        <f>F78/E78</f>
        <v>0.14428348545128325</v>
      </c>
      <c r="I78">
        <f>G78/E78</f>
        <v>0.17602777127701069</v>
      </c>
    </row>
    <row r="79" spans="1:20" x14ac:dyDescent="0.55000000000000004">
      <c r="A79">
        <v>160</v>
      </c>
      <c r="B79">
        <v>64</v>
      </c>
      <c r="C79">
        <v>1024</v>
      </c>
      <c r="D79">
        <v>1</v>
      </c>
      <c r="E79">
        <v>127.51</v>
      </c>
      <c r="F79">
        <v>15.9217</v>
      </c>
      <c r="G79">
        <v>23.3307</v>
      </c>
      <c r="H79">
        <f>F79/E79</f>
        <v>0.12486628499725511</v>
      </c>
      <c r="I79">
        <f>G79/E79</f>
        <v>0.18297153164457688</v>
      </c>
    </row>
    <row r="80" spans="1:20" x14ac:dyDescent="0.55000000000000004">
      <c r="A80">
        <v>80</v>
      </c>
      <c r="B80">
        <v>64</v>
      </c>
      <c r="C80">
        <v>512</v>
      </c>
      <c r="D80">
        <v>1</v>
      </c>
      <c r="E80">
        <v>126.16</v>
      </c>
      <c r="F80">
        <v>18.2881</v>
      </c>
      <c r="G80">
        <v>23.6706</v>
      </c>
      <c r="H80">
        <f>F80/E80</f>
        <v>0.14495957514267596</v>
      </c>
      <c r="I80">
        <f>G80/E80</f>
        <v>0.18762365250475588</v>
      </c>
    </row>
    <row r="81" spans="1:9" x14ac:dyDescent="0.55000000000000004">
      <c r="A81">
        <v>80</v>
      </c>
      <c r="B81">
        <v>64</v>
      </c>
      <c r="C81">
        <v>256</v>
      </c>
      <c r="D81">
        <v>3</v>
      </c>
      <c r="E81">
        <v>123.18</v>
      </c>
      <c r="F81">
        <v>19.8827</v>
      </c>
      <c r="G81">
        <v>27.001300000000001</v>
      </c>
      <c r="H81">
        <f>F81/E81</f>
        <v>0.16141175515505762</v>
      </c>
      <c r="I81">
        <f>G81/E81</f>
        <v>0.21920198084104561</v>
      </c>
    </row>
    <row r="82" spans="1:9" x14ac:dyDescent="0.55000000000000004">
      <c r="A82">
        <v>160</v>
      </c>
      <c r="B82">
        <v>128</v>
      </c>
      <c r="C82">
        <v>256</v>
      </c>
      <c r="D82">
        <v>2</v>
      </c>
      <c r="E82">
        <v>119.22</v>
      </c>
      <c r="F82">
        <v>19.009899999999998</v>
      </c>
      <c r="G82">
        <v>33.094200000000001</v>
      </c>
      <c r="H82">
        <f>F82/E82</f>
        <v>0.15945227310853882</v>
      </c>
      <c r="I82">
        <f>G82/E82</f>
        <v>0.27758933064921992</v>
      </c>
    </row>
    <row r="83" spans="1:9" x14ac:dyDescent="0.55000000000000004">
      <c r="A83">
        <v>80</v>
      </c>
      <c r="B83">
        <v>128</v>
      </c>
      <c r="C83">
        <v>256</v>
      </c>
      <c r="D83">
        <v>1</v>
      </c>
      <c r="E83">
        <v>119.17</v>
      </c>
      <c r="F83">
        <v>18.437999999999999</v>
      </c>
      <c r="G83">
        <v>28.174399999999999</v>
      </c>
      <c r="H83">
        <f>F83/E83</f>
        <v>0.15472014768817655</v>
      </c>
      <c r="I83">
        <f>G83/E83</f>
        <v>0.23642191826802045</v>
      </c>
    </row>
    <row r="84" spans="1:9" x14ac:dyDescent="0.55000000000000004">
      <c r="A84">
        <v>160</v>
      </c>
      <c r="B84">
        <v>64</v>
      </c>
      <c r="C84">
        <v>512</v>
      </c>
      <c r="D84">
        <v>1</v>
      </c>
      <c r="E84">
        <v>116.54</v>
      </c>
      <c r="F84">
        <v>18.278500000000001</v>
      </c>
      <c r="G84">
        <v>23.447900000000001</v>
      </c>
      <c r="H84">
        <f>F84/E84</f>
        <v>0.1568431439848979</v>
      </c>
      <c r="I84">
        <f>G84/E84</f>
        <v>0.20120044619873004</v>
      </c>
    </row>
    <row r="85" spans="1:9" x14ac:dyDescent="0.55000000000000004">
      <c r="A85">
        <v>80</v>
      </c>
      <c r="B85">
        <v>64</v>
      </c>
      <c r="C85">
        <v>256</v>
      </c>
      <c r="D85">
        <v>2</v>
      </c>
      <c r="E85">
        <v>113.51</v>
      </c>
      <c r="F85">
        <v>19.532299999999999</v>
      </c>
      <c r="G85">
        <v>28.259599999999999</v>
      </c>
      <c r="H85">
        <f>F85/E85</f>
        <v>0.17207558805391593</v>
      </c>
      <c r="I85">
        <f>G85/E85</f>
        <v>0.24896132499339263</v>
      </c>
    </row>
    <row r="86" spans="1:9" x14ac:dyDescent="0.55000000000000004">
      <c r="A86">
        <v>160</v>
      </c>
      <c r="B86">
        <v>64</v>
      </c>
      <c r="C86">
        <v>256</v>
      </c>
      <c r="D86">
        <v>3</v>
      </c>
      <c r="E86">
        <v>105.33</v>
      </c>
      <c r="F86">
        <v>19.848199999999999</v>
      </c>
      <c r="G86">
        <v>26.910799999999998</v>
      </c>
      <c r="H86">
        <f>F86/E86</f>
        <v>0.18843824171651</v>
      </c>
      <c r="I86">
        <f>G86/E86</f>
        <v>0.25549036361910188</v>
      </c>
    </row>
    <row r="87" spans="1:9" x14ac:dyDescent="0.55000000000000004">
      <c r="A87">
        <v>40</v>
      </c>
      <c r="B87">
        <v>64</v>
      </c>
      <c r="C87">
        <v>256</v>
      </c>
      <c r="D87">
        <v>1</v>
      </c>
      <c r="E87">
        <v>103.76</v>
      </c>
      <c r="F87">
        <v>18.610800000000001</v>
      </c>
      <c r="G87">
        <v>32.4985</v>
      </c>
      <c r="H87">
        <f>F87/E87</f>
        <v>0.17936391673091751</v>
      </c>
      <c r="I87">
        <f>G87/E87</f>
        <v>0.31320836545875097</v>
      </c>
    </row>
    <row r="88" spans="1:9" x14ac:dyDescent="0.55000000000000004">
      <c r="A88">
        <v>160</v>
      </c>
      <c r="B88">
        <v>64</v>
      </c>
      <c r="C88">
        <v>256</v>
      </c>
      <c r="D88">
        <v>2</v>
      </c>
      <c r="E88">
        <v>96.09</v>
      </c>
      <c r="F88">
        <v>19.5092</v>
      </c>
      <c r="G88">
        <v>28.415099999999999</v>
      </c>
      <c r="H88">
        <f>F88/E88</f>
        <v>0.20303049224685191</v>
      </c>
      <c r="I88">
        <f>G88/E88</f>
        <v>0.29571339369341243</v>
      </c>
    </row>
    <row r="89" spans="1:9" x14ac:dyDescent="0.55000000000000004">
      <c r="A89">
        <v>160</v>
      </c>
      <c r="B89">
        <v>128</v>
      </c>
      <c r="C89">
        <v>256</v>
      </c>
      <c r="D89">
        <v>1</v>
      </c>
      <c r="E89">
        <v>85.96</v>
      </c>
      <c r="F89">
        <v>18.129100000000001</v>
      </c>
      <c r="G89">
        <v>26.043099999999999</v>
      </c>
      <c r="H89">
        <f>F89/E89</f>
        <v>0.21090158213122384</v>
      </c>
      <c r="I89">
        <f>G89/E89</f>
        <v>0.3029676593764542</v>
      </c>
    </row>
    <row r="90" spans="1:9" x14ac:dyDescent="0.55000000000000004">
      <c r="A90">
        <v>80</v>
      </c>
      <c r="B90">
        <v>64</v>
      </c>
      <c r="C90">
        <v>256</v>
      </c>
      <c r="D90">
        <v>1</v>
      </c>
      <c r="E90">
        <v>84.95</v>
      </c>
      <c r="F90">
        <v>18.4267</v>
      </c>
      <c r="G90">
        <v>28.117100000000001</v>
      </c>
      <c r="H90">
        <f>F90/E90</f>
        <v>0.21691230135373749</v>
      </c>
      <c r="I90">
        <f>G90/E90</f>
        <v>0.33098410829899944</v>
      </c>
    </row>
    <row r="91" spans="1:9" x14ac:dyDescent="0.55000000000000004">
      <c r="A91">
        <v>160</v>
      </c>
      <c r="B91">
        <v>64</v>
      </c>
      <c r="C91">
        <v>256</v>
      </c>
      <c r="D91">
        <v>1</v>
      </c>
      <c r="E91">
        <v>69.44</v>
      </c>
      <c r="F91">
        <v>18.6431</v>
      </c>
      <c r="G91">
        <v>28.969899999999999</v>
      </c>
      <c r="H91">
        <f>F91/E91</f>
        <v>0.26847782258064518</v>
      </c>
      <c r="I91">
        <f>G91/E91</f>
        <v>0.41719326036866361</v>
      </c>
    </row>
    <row r="92" spans="1:9" x14ac:dyDescent="0.55000000000000004">
      <c r="H92">
        <f>MAX(H2:H91)</f>
        <v>0.26847782258064518</v>
      </c>
      <c r="I92">
        <f>MAX(I2:I91)</f>
        <v>0.41719326036866361</v>
      </c>
    </row>
    <row r="93" spans="1:9" x14ac:dyDescent="0.55000000000000004">
      <c r="H93">
        <f>MATCH(H92,H2:H91,0)</f>
        <v>90</v>
      </c>
      <c r="I93">
        <f>MATCH(I92,I2:I91,0)</f>
        <v>90</v>
      </c>
    </row>
  </sheetData>
  <sortState xmlns:xlrd2="http://schemas.microsoft.com/office/spreadsheetml/2017/richdata2" ref="BD2:BL93">
    <sortCondition descending="1" ref="BL2:BL93"/>
  </sortState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C66F7-D933-47B9-B588-68086B2C76D1}">
  <dimension ref="A1:P11"/>
  <sheetViews>
    <sheetView tabSelected="1" topLeftCell="H1" workbookViewId="0">
      <selection activeCell="Q9" sqref="Q9"/>
    </sheetView>
  </sheetViews>
  <sheetFormatPr defaultRowHeight="18" x14ac:dyDescent="0.55000000000000004"/>
  <cols>
    <col min="1" max="1" width="15.1640625" bestFit="1" customWidth="1"/>
    <col min="2" max="2" width="9.08203125" bestFit="1" customWidth="1"/>
    <col min="3" max="3" width="9.08203125" customWidth="1"/>
    <col min="4" max="4" width="16" bestFit="1" customWidth="1"/>
    <col min="5" max="5" width="29.83203125" bestFit="1" customWidth="1"/>
    <col min="6" max="6" width="15.9140625" bestFit="1" customWidth="1"/>
    <col min="7" max="7" width="29.75" bestFit="1" customWidth="1"/>
    <col min="8" max="8" width="3.08203125" customWidth="1"/>
    <col min="9" max="9" width="11.6640625" bestFit="1" customWidth="1"/>
    <col min="10" max="10" width="6.9140625" bestFit="1" customWidth="1"/>
    <col min="11" max="11" width="8.9140625" bestFit="1" customWidth="1"/>
    <col min="12" max="12" width="16" bestFit="1" customWidth="1"/>
    <col min="13" max="13" width="29.83203125" bestFit="1" customWidth="1"/>
    <col min="14" max="14" width="15.9140625" bestFit="1" customWidth="1"/>
    <col min="15" max="15" width="29.75" bestFit="1" customWidth="1"/>
    <col min="16" max="16" width="24.5" customWidth="1"/>
    <col min="17" max="17" width="12.33203125" bestFit="1" customWidth="1"/>
  </cols>
  <sheetData>
    <row r="1" spans="1:16" x14ac:dyDescent="0.55000000000000004">
      <c r="A1" t="s">
        <v>9</v>
      </c>
      <c r="I1" t="s">
        <v>20</v>
      </c>
    </row>
    <row r="2" spans="1:16" x14ac:dyDescent="0.55000000000000004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7</v>
      </c>
      <c r="G2" t="s">
        <v>8</v>
      </c>
      <c r="I2" t="s">
        <v>0</v>
      </c>
      <c r="J2" t="s">
        <v>6</v>
      </c>
      <c r="K2" t="s">
        <v>3</v>
      </c>
      <c r="L2" t="s">
        <v>4</v>
      </c>
      <c r="M2" t="s">
        <v>5</v>
      </c>
      <c r="N2" t="s">
        <v>7</v>
      </c>
      <c r="O2" t="s">
        <v>8</v>
      </c>
      <c r="P2" t="s">
        <v>25</v>
      </c>
    </row>
    <row r="3" spans="1:16" x14ac:dyDescent="0.55000000000000004">
      <c r="A3">
        <v>160</v>
      </c>
      <c r="B3">
        <v>1024</v>
      </c>
      <c r="C3">
        <v>29821.5</v>
      </c>
      <c r="D3">
        <v>15.860900000000001</v>
      </c>
      <c r="E3">
        <v>20.592500000000001</v>
      </c>
      <c r="F3">
        <f>D3/C3</f>
        <v>5.3186124105091969E-4</v>
      </c>
      <c r="G3">
        <f>E3/D3</f>
        <v>1.2983185065160237</v>
      </c>
      <c r="I3">
        <v>64</v>
      </c>
      <c r="J3">
        <v>2</v>
      </c>
      <c r="K3">
        <v>156.07</v>
      </c>
      <c r="L3">
        <v>17.123200000000001</v>
      </c>
      <c r="M3">
        <v>34.868099999999998</v>
      </c>
      <c r="N3">
        <v>0.10971487153200488</v>
      </c>
      <c r="O3">
        <v>0.22341321202024733</v>
      </c>
      <c r="P3">
        <v>17.258600000000001</v>
      </c>
    </row>
    <row r="4" spans="1:16" x14ac:dyDescent="0.55000000000000004">
      <c r="A4">
        <v>160</v>
      </c>
      <c r="B4">
        <v>512</v>
      </c>
      <c r="C4">
        <v>29426.799999999999</v>
      </c>
      <c r="D4">
        <v>16.7651</v>
      </c>
      <c r="E4">
        <v>21.4801</v>
      </c>
      <c r="F4">
        <f t="shared" ref="F4:G11" si="0">D4/C4</f>
        <v>5.6972215803281366E-4</v>
      </c>
      <c r="G4">
        <f t="shared" si="0"/>
        <v>1.2812390024515212</v>
      </c>
      <c r="I4">
        <v>64</v>
      </c>
      <c r="J4">
        <v>3</v>
      </c>
      <c r="K4">
        <v>151.80000000000001</v>
      </c>
      <c r="L4">
        <v>17.692699999999999</v>
      </c>
      <c r="M4">
        <v>41.718899999999998</v>
      </c>
      <c r="N4">
        <v>0.11655270092226612</v>
      </c>
      <c r="O4">
        <v>0.2748280632411067</v>
      </c>
      <c r="P4">
        <v>17.726199999999999</v>
      </c>
    </row>
    <row r="5" spans="1:16" x14ac:dyDescent="0.55000000000000004">
      <c r="A5">
        <v>160</v>
      </c>
      <c r="B5">
        <v>256</v>
      </c>
      <c r="C5">
        <v>28771.5</v>
      </c>
      <c r="D5">
        <v>18.454999999999998</v>
      </c>
      <c r="E5">
        <v>23.360600000000002</v>
      </c>
      <c r="F5">
        <f t="shared" si="0"/>
        <v>6.4143336287645757E-4</v>
      </c>
      <c r="G5">
        <f t="shared" si="0"/>
        <v>1.2658141425088054</v>
      </c>
      <c r="I5">
        <v>64</v>
      </c>
      <c r="J5">
        <v>4</v>
      </c>
      <c r="K5">
        <v>144.80000000000001</v>
      </c>
      <c r="L5">
        <v>19.236699999999999</v>
      </c>
      <c r="M5">
        <v>41.510899999999999</v>
      </c>
      <c r="N5">
        <v>0.13285013812154695</v>
      </c>
      <c r="O5">
        <v>0.28667748618784528</v>
      </c>
      <c r="P5">
        <v>19.259599999999999</v>
      </c>
    </row>
    <row r="6" spans="1:16" x14ac:dyDescent="0.55000000000000004">
      <c r="A6">
        <v>80</v>
      </c>
      <c r="B6">
        <v>1024</v>
      </c>
      <c r="C6">
        <v>7463.37</v>
      </c>
      <c r="D6">
        <v>16.534400000000002</v>
      </c>
      <c r="E6">
        <v>27.1829</v>
      </c>
      <c r="F6">
        <f t="shared" si="0"/>
        <v>2.215406713053219E-3</v>
      </c>
      <c r="G6">
        <f t="shared" si="0"/>
        <v>1.6440209502612733</v>
      </c>
      <c r="I6">
        <v>64</v>
      </c>
      <c r="J6">
        <v>2</v>
      </c>
      <c r="K6">
        <v>163.82</v>
      </c>
      <c r="L6">
        <v>16.790099999999999</v>
      </c>
      <c r="M6">
        <v>32.190399999999997</v>
      </c>
      <c r="N6">
        <v>0.10249114882187767</v>
      </c>
      <c r="O6">
        <v>0.19649859602002195</v>
      </c>
      <c r="P6">
        <v>16.982199999999999</v>
      </c>
    </row>
    <row r="7" spans="1:16" x14ac:dyDescent="0.55000000000000004">
      <c r="A7">
        <v>80</v>
      </c>
      <c r="B7">
        <v>512</v>
      </c>
      <c r="C7">
        <v>7696.85</v>
      </c>
      <c r="D7">
        <v>16.8674</v>
      </c>
      <c r="E7">
        <v>25.917000000000002</v>
      </c>
      <c r="F7">
        <f t="shared" si="0"/>
        <v>2.1914679381825029E-3</v>
      </c>
      <c r="G7">
        <f t="shared" si="0"/>
        <v>1.5365142227017798</v>
      </c>
      <c r="I7">
        <v>64</v>
      </c>
      <c r="J7">
        <v>3</v>
      </c>
      <c r="K7">
        <v>165.61</v>
      </c>
      <c r="L7">
        <v>17.428599999999999</v>
      </c>
      <c r="M7">
        <v>33.710799999999999</v>
      </c>
      <c r="N7">
        <v>0.10523881408127528</v>
      </c>
      <c r="O7">
        <v>0.20355534086105909</v>
      </c>
      <c r="P7">
        <v>17.6599</v>
      </c>
    </row>
    <row r="8" spans="1:16" x14ac:dyDescent="0.55000000000000004">
      <c r="A8">
        <v>80</v>
      </c>
      <c r="B8">
        <v>256</v>
      </c>
      <c r="C8">
        <v>7480.96</v>
      </c>
      <c r="D8">
        <v>18.189900000000002</v>
      </c>
      <c r="E8">
        <v>26.1584</v>
      </c>
      <c r="F8">
        <f t="shared" si="0"/>
        <v>2.4314927495936354E-3</v>
      </c>
      <c r="G8">
        <f t="shared" si="0"/>
        <v>1.4380727766507786</v>
      </c>
      <c r="I8">
        <v>64</v>
      </c>
      <c r="J8">
        <v>4</v>
      </c>
      <c r="K8">
        <v>162.34</v>
      </c>
      <c r="L8">
        <v>19.1587</v>
      </c>
      <c r="M8">
        <v>41.773499999999999</v>
      </c>
      <c r="N8">
        <v>0.11801589257114697</v>
      </c>
      <c r="O8">
        <v>0.25732105457681409</v>
      </c>
      <c r="P8">
        <v>19.1799</v>
      </c>
    </row>
    <row r="9" spans="1:16" x14ac:dyDescent="0.55000000000000004">
      <c r="A9">
        <v>40</v>
      </c>
      <c r="B9">
        <v>1024</v>
      </c>
      <c r="C9">
        <v>4301.0200000000004</v>
      </c>
      <c r="D9">
        <v>16.541899999999998</v>
      </c>
      <c r="E9">
        <v>27.218800000000002</v>
      </c>
      <c r="F9">
        <f t="shared" si="0"/>
        <v>3.8460411716290548E-3</v>
      </c>
      <c r="G9">
        <f t="shared" si="0"/>
        <v>1.6454458073135494</v>
      </c>
      <c r="I9">
        <v>64</v>
      </c>
      <c r="J9">
        <v>2</v>
      </c>
      <c r="K9">
        <v>156.75</v>
      </c>
      <c r="L9">
        <v>16.9236</v>
      </c>
      <c r="M9">
        <v>37.175600000000003</v>
      </c>
      <c r="N9">
        <v>0.10796555023923446</v>
      </c>
      <c r="O9">
        <v>0.23716491228070177</v>
      </c>
      <c r="P9">
        <v>16.9938</v>
      </c>
    </row>
    <row r="10" spans="1:16" x14ac:dyDescent="0.55000000000000004">
      <c r="A10">
        <v>40</v>
      </c>
      <c r="B10">
        <v>512</v>
      </c>
      <c r="C10">
        <v>4331.3599999999997</v>
      </c>
      <c r="D10">
        <v>16.684100000000001</v>
      </c>
      <c r="E10">
        <v>25.890599999999999</v>
      </c>
      <c r="F10">
        <f t="shared" si="0"/>
        <v>3.8519310332089693E-3</v>
      </c>
      <c r="G10">
        <f t="shared" si="0"/>
        <v>1.5518128038072174</v>
      </c>
      <c r="I10">
        <v>64</v>
      </c>
      <c r="J10">
        <v>3</v>
      </c>
      <c r="K10">
        <v>165.89</v>
      </c>
      <c r="L10">
        <v>17.4192</v>
      </c>
      <c r="M10">
        <v>42.106000000000002</v>
      </c>
      <c r="N10">
        <v>0.10500452106817772</v>
      </c>
      <c r="O10">
        <v>0.25381879558743747</v>
      </c>
      <c r="P10">
        <v>17.4466</v>
      </c>
    </row>
    <row r="11" spans="1:16" x14ac:dyDescent="0.55000000000000004">
      <c r="A11">
        <v>40</v>
      </c>
      <c r="B11">
        <v>256</v>
      </c>
      <c r="C11">
        <v>4212.7700000000004</v>
      </c>
      <c r="D11">
        <v>17.941500000000001</v>
      </c>
      <c r="E11">
        <v>26.225899999999999</v>
      </c>
      <c r="F11">
        <f t="shared" si="0"/>
        <v>4.258836822328302E-3</v>
      </c>
      <c r="G11">
        <f t="shared" si="0"/>
        <v>1.4617451160716772</v>
      </c>
      <c r="I11">
        <v>64</v>
      </c>
      <c r="J11">
        <v>5</v>
      </c>
      <c r="K11">
        <v>205.23</v>
      </c>
      <c r="L11">
        <v>18.850100000000001</v>
      </c>
      <c r="M11">
        <v>41.6676</v>
      </c>
      <c r="N11">
        <v>9.1848657603664188E-2</v>
      </c>
      <c r="O11">
        <v>0.20302879695950884</v>
      </c>
      <c r="P11">
        <v>18.8718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Sheet1</vt:lpstr>
      <vt:lpstr>Sheet2</vt:lpstr>
      <vt:lpstr>nph40,80,160</vt:lpstr>
      <vt:lpstr>nph40,80,160 prop comparison</vt:lpstr>
      <vt:lpstr>nph40,80,160 prop DP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哲生 渡辺</dc:creator>
  <cp:lastModifiedBy>哲生 渡辺</cp:lastModifiedBy>
  <dcterms:created xsi:type="dcterms:W3CDTF">2024-09-30T05:04:51Z</dcterms:created>
  <dcterms:modified xsi:type="dcterms:W3CDTF">2024-10-07T06:23:06Z</dcterms:modified>
</cp:coreProperties>
</file>