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"/>
    </mc:Choice>
  </mc:AlternateContent>
  <xr:revisionPtr revIDLastSave="0" documentId="13_ncr:1_{1CDA1EC6-29D8-4278-818E-7F17C9600736}" xr6:coauthVersionLast="47" xr6:coauthVersionMax="47" xr10:uidLastSave="{00000000-0000-0000-0000-000000000000}"/>
  <bookViews>
    <workbookView xWindow="-110" yWindow="-110" windowWidth="38620" windowHeight="21100" xr2:uid="{5CF174A5-3D84-4DBA-9C1E-77B76537FE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7" i="1" l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3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<sst xmlns="http://schemas.openxmlformats.org/spreadsheetml/2006/main" count="35" uniqueCount="16">
  <si>
    <t>Np</t>
    <phoneticPr fontId="1"/>
  </si>
  <si>
    <t>subz</t>
    <phoneticPr fontId="1"/>
  </si>
  <si>
    <t>Nz</t>
    <phoneticPr fontId="1"/>
  </si>
  <si>
    <t>NxNy(50 x pt)</t>
    <phoneticPr fontId="1"/>
  </si>
  <si>
    <t>ptimes</t>
    <phoneticPr fontId="1"/>
  </si>
  <si>
    <t>PSNR(/real-direct)</t>
    <phoneticPr fontId="1"/>
  </si>
  <si>
    <t>PSNR(/real)</t>
    <phoneticPr fontId="1"/>
  </si>
  <si>
    <t>PSNR(/ideal)</t>
    <phoneticPr fontId="1"/>
  </si>
  <si>
    <t>time[ms]</t>
    <phoneticPr fontId="1"/>
  </si>
  <si>
    <t>v2-3-NxNy50pt-Nz40</t>
    <phoneticPr fontId="1"/>
  </si>
  <si>
    <t>NxNy(240 x pt)</t>
    <phoneticPr fontId="1"/>
  </si>
  <si>
    <t>v2-3-NxNy240pt-Nz64-itp=T</t>
    <phoneticPr fontId="1"/>
  </si>
  <si>
    <t>real_ideal</t>
    <phoneticPr fontId="1"/>
  </si>
  <si>
    <t>real-direct_ideal</t>
    <phoneticPr fontId="1"/>
  </si>
  <si>
    <t>real-direct_real</t>
    <phoneticPr fontId="1"/>
  </si>
  <si>
    <t>v2-3-NxNy240pt-Nz64-itp=F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</si>
</sst>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DDA7-B38B-4765-8F18-532D571B794B}">
  <dimension ref="A1:AC47"/>
  <sheetViews>
    <sheetView tabSelected="1" topLeftCell="A13" zoomScale="120" zoomScaleNormal="120" workbookViewId="0">
      <selection activeCell="T29" sqref="T29"/>
    </sheetView>
  </sheetViews>
  <sheetFormatPr defaultRowHeight="18" x14ac:dyDescent="0.55000000000000004"/>
  <cols>
    <col min="1" max="1" width="4.1640625" bestFit="1" customWidth="1"/>
    <col min="2" max="2" width="5.1640625" bestFit="1" customWidth="1"/>
    <col min="3" max="3" width="3.33203125" bestFit="1" customWidth="1"/>
    <col min="4" max="4" width="13.08203125" bestFit="1" customWidth="1"/>
    <col min="5" max="5" width="6.9140625" bestFit="1" customWidth="1"/>
    <col min="6" max="6" width="8.9140625" bestFit="1" customWidth="1"/>
    <col min="7" max="7" width="18" bestFit="1" customWidth="1"/>
    <col min="8" max="8" width="11.9140625" bestFit="1" customWidth="1"/>
    <col min="9" max="9" width="12.9140625" bestFit="1" customWidth="1"/>
    <col min="11" max="11" width="4.1640625" bestFit="1" customWidth="1"/>
    <col min="12" max="12" width="5.1640625" bestFit="1" customWidth="1"/>
    <col min="13" max="13" width="3.33203125" bestFit="1" customWidth="1"/>
    <col min="14" max="14" width="13.08203125" bestFit="1" customWidth="1"/>
    <col min="15" max="15" width="6.9140625" bestFit="1" customWidth="1"/>
    <col min="16" max="16" width="8.9140625" bestFit="1" customWidth="1"/>
    <col min="17" max="17" width="18" bestFit="1" customWidth="1"/>
    <col min="18" max="18" width="11.9140625" bestFit="1" customWidth="1"/>
    <col min="19" max="19" width="12.9140625" bestFit="1" customWidth="1"/>
    <col min="21" max="21" width="4.1640625" bestFit="1" customWidth="1"/>
    <col min="22" max="22" width="5.1640625" bestFit="1" customWidth="1"/>
    <col min="23" max="23" width="3.33203125" bestFit="1" customWidth="1"/>
    <col min="24" max="24" width="14.1640625" bestFit="1" customWidth="1"/>
    <col min="25" max="25" width="6.9140625" bestFit="1" customWidth="1"/>
    <col min="26" max="26" width="8.9140625" bestFit="1" customWidth="1"/>
    <col min="27" max="27" width="18" bestFit="1" customWidth="1"/>
    <col min="28" max="28" width="11.9140625" bestFit="1" customWidth="1"/>
    <col min="29" max="29" width="12.9140625" bestFit="1" customWidth="1"/>
  </cols>
  <sheetData>
    <row r="1" spans="1:29" x14ac:dyDescent="0.55000000000000004">
      <c r="A1" t="s">
        <v>9</v>
      </c>
      <c r="K1" t="s">
        <v>11</v>
      </c>
      <c r="U1" t="s">
        <v>15</v>
      </c>
    </row>
    <row r="2" spans="1:29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</v>
      </c>
      <c r="G2" t="s">
        <v>5</v>
      </c>
      <c r="H2" t="s">
        <v>6</v>
      </c>
      <c r="I2" t="s">
        <v>7</v>
      </c>
      <c r="K2" t="s">
        <v>0</v>
      </c>
      <c r="L2" t="s">
        <v>1</v>
      </c>
      <c r="M2" t="s">
        <v>2</v>
      </c>
      <c r="N2" t="s">
        <v>10</v>
      </c>
      <c r="O2" t="s">
        <v>4</v>
      </c>
      <c r="P2" t="s">
        <v>8</v>
      </c>
      <c r="Q2" t="s">
        <v>5</v>
      </c>
      <c r="R2" t="s">
        <v>6</v>
      </c>
      <c r="S2" t="s">
        <v>7</v>
      </c>
      <c r="U2" t="s">
        <v>0</v>
      </c>
      <c r="V2" t="s">
        <v>1</v>
      </c>
      <c r="W2" t="s">
        <v>2</v>
      </c>
      <c r="X2" t="s">
        <v>10</v>
      </c>
      <c r="Y2" t="s">
        <v>4</v>
      </c>
      <c r="Z2" t="s">
        <v>8</v>
      </c>
      <c r="AA2" t="s">
        <v>5</v>
      </c>
      <c r="AB2" t="s">
        <v>6</v>
      </c>
      <c r="AC2" t="s">
        <v>7</v>
      </c>
    </row>
    <row r="3" spans="1:29" x14ac:dyDescent="0.55000000000000004">
      <c r="A3" s="1">
        <v>160</v>
      </c>
      <c r="B3" s="2">
        <v>1024</v>
      </c>
      <c r="C3" s="2">
        <v>40</v>
      </c>
      <c r="D3" s="2">
        <f>50*E3</f>
        <v>250</v>
      </c>
      <c r="E3" s="2">
        <v>5</v>
      </c>
      <c r="F3" s="2">
        <v>57</v>
      </c>
      <c r="G3" s="2">
        <v>17.9072</v>
      </c>
      <c r="H3" s="2">
        <v>17.9359</v>
      </c>
      <c r="I3" s="3">
        <v>22.504999999999999</v>
      </c>
      <c r="K3" s="1">
        <v>160</v>
      </c>
      <c r="L3" s="2">
        <v>1024</v>
      </c>
      <c r="M3" s="2">
        <v>64</v>
      </c>
      <c r="N3" s="2">
        <f>240*O3</f>
        <v>1200</v>
      </c>
      <c r="O3" s="2">
        <v>5</v>
      </c>
      <c r="P3" s="2">
        <v>141.13</v>
      </c>
      <c r="Q3" s="2">
        <v>17.8141</v>
      </c>
      <c r="R3" s="2">
        <v>17.839300000000001</v>
      </c>
      <c r="S3" s="3">
        <v>21.219799999999999</v>
      </c>
      <c r="U3" s="1">
        <v>160</v>
      </c>
      <c r="V3" s="2">
        <v>1024</v>
      </c>
      <c r="W3" s="2">
        <v>64</v>
      </c>
      <c r="X3" s="2">
        <f>240*Y3</f>
        <v>1200</v>
      </c>
      <c r="Y3" s="2">
        <v>5</v>
      </c>
      <c r="Z3" s="2">
        <v>253.97</v>
      </c>
      <c r="AA3" s="2">
        <v>14.890599999999999</v>
      </c>
      <c r="AB3" s="2">
        <v>14.9033</v>
      </c>
      <c r="AC3" s="3">
        <v>15.8774</v>
      </c>
    </row>
    <row r="4" spans="1:29" x14ac:dyDescent="0.55000000000000004">
      <c r="A4" s="7">
        <v>160</v>
      </c>
      <c r="B4" s="8">
        <v>1024</v>
      </c>
      <c r="C4" s="8">
        <v>40</v>
      </c>
      <c r="D4" s="8">
        <f t="shared" ref="D4:D47" si="0">50*E4</f>
        <v>200</v>
      </c>
      <c r="E4" s="8">
        <v>4</v>
      </c>
      <c r="F4" s="8">
        <v>71.28</v>
      </c>
      <c r="G4" s="8">
        <v>17.919699999999999</v>
      </c>
      <c r="H4" s="8">
        <v>17.945699999999999</v>
      </c>
      <c r="I4" s="9">
        <v>21.9039</v>
      </c>
      <c r="K4" s="4">
        <v>160</v>
      </c>
      <c r="L4" s="5">
        <v>1024</v>
      </c>
      <c r="M4" s="5">
        <v>64</v>
      </c>
      <c r="N4" s="5">
        <f t="shared" ref="N4:N47" si="1">240*O4</f>
        <v>960</v>
      </c>
      <c r="O4" s="5">
        <v>4</v>
      </c>
      <c r="P4" s="5">
        <v>118.2</v>
      </c>
      <c r="Q4" s="5">
        <v>17.8127</v>
      </c>
      <c r="R4" s="5">
        <v>17.837900000000001</v>
      </c>
      <c r="S4" s="6">
        <v>21.215299999999999</v>
      </c>
      <c r="U4" s="4">
        <v>160</v>
      </c>
      <c r="V4" s="5">
        <v>1024</v>
      </c>
      <c r="W4" s="5">
        <v>64</v>
      </c>
      <c r="X4" s="5">
        <f t="shared" ref="X4:X47" si="2">240*Y4</f>
        <v>960</v>
      </c>
      <c r="Y4" s="5">
        <v>4</v>
      </c>
      <c r="Z4" s="5">
        <v>170</v>
      </c>
      <c r="AA4" s="5">
        <v>17.151199999999999</v>
      </c>
      <c r="AB4" s="5">
        <v>17.1737</v>
      </c>
      <c r="AC4" s="6">
        <v>19.687899999999999</v>
      </c>
    </row>
    <row r="5" spans="1:29" x14ac:dyDescent="0.55000000000000004">
      <c r="A5" s="4">
        <v>160</v>
      </c>
      <c r="B5" s="5">
        <v>1024</v>
      </c>
      <c r="C5" s="5">
        <v>40</v>
      </c>
      <c r="D5" s="5">
        <f t="shared" si="0"/>
        <v>150</v>
      </c>
      <c r="E5" s="5">
        <v>3</v>
      </c>
      <c r="F5" s="5">
        <v>37.86</v>
      </c>
      <c r="G5" s="5">
        <v>17.912700000000001</v>
      </c>
      <c r="H5" s="5">
        <v>17.940999999999999</v>
      </c>
      <c r="I5" s="6">
        <v>22.5304</v>
      </c>
      <c r="K5" s="7">
        <v>160</v>
      </c>
      <c r="L5" s="8">
        <v>1024</v>
      </c>
      <c r="M5" s="8">
        <v>64</v>
      </c>
      <c r="N5" s="8">
        <f t="shared" si="1"/>
        <v>720</v>
      </c>
      <c r="O5" s="8">
        <v>3</v>
      </c>
      <c r="P5" s="8">
        <v>75.14</v>
      </c>
      <c r="Q5" s="8">
        <v>17.815200000000001</v>
      </c>
      <c r="R5" s="8">
        <v>17.840499999999999</v>
      </c>
      <c r="S5" s="9">
        <v>21.355</v>
      </c>
      <c r="U5" s="19">
        <v>160</v>
      </c>
      <c r="V5" s="20">
        <v>1024</v>
      </c>
      <c r="W5" s="20">
        <v>64</v>
      </c>
      <c r="X5" s="20">
        <f t="shared" si="2"/>
        <v>720</v>
      </c>
      <c r="Y5" s="20">
        <v>3</v>
      </c>
      <c r="Z5" s="20">
        <v>112.87</v>
      </c>
      <c r="AA5" s="20">
        <v>17.798200000000001</v>
      </c>
      <c r="AB5" s="20">
        <v>17.8232</v>
      </c>
      <c r="AC5" s="21">
        <v>21.192599999999999</v>
      </c>
    </row>
    <row r="6" spans="1:29" x14ac:dyDescent="0.55000000000000004">
      <c r="A6" s="4">
        <v>160</v>
      </c>
      <c r="B6" s="5">
        <v>1024</v>
      </c>
      <c r="C6" s="5">
        <v>40</v>
      </c>
      <c r="D6" s="5">
        <f t="shared" si="0"/>
        <v>100</v>
      </c>
      <c r="E6" s="5">
        <v>2</v>
      </c>
      <c r="F6" s="5">
        <v>42.59</v>
      </c>
      <c r="G6" s="5">
        <v>17.885400000000001</v>
      </c>
      <c r="H6" s="5">
        <v>17.914000000000001</v>
      </c>
      <c r="I6" s="6">
        <v>22.426300000000001</v>
      </c>
      <c r="K6" s="4">
        <v>160</v>
      </c>
      <c r="L6" s="5">
        <v>1024</v>
      </c>
      <c r="M6" s="5">
        <v>64</v>
      </c>
      <c r="N6" s="5">
        <f t="shared" si="1"/>
        <v>480</v>
      </c>
      <c r="O6" s="5">
        <v>2</v>
      </c>
      <c r="P6" s="5">
        <v>64.88</v>
      </c>
      <c r="Q6" s="5">
        <v>17.790700000000001</v>
      </c>
      <c r="R6" s="5">
        <v>17.815999999999999</v>
      </c>
      <c r="S6" s="6">
        <v>21.158999999999999</v>
      </c>
      <c r="U6" s="7">
        <v>160</v>
      </c>
      <c r="V6" s="8">
        <v>1024</v>
      </c>
      <c r="W6" s="8">
        <v>64</v>
      </c>
      <c r="X6" s="8">
        <f t="shared" si="2"/>
        <v>480</v>
      </c>
      <c r="Y6" s="8">
        <v>2</v>
      </c>
      <c r="Z6" s="8">
        <v>71.89</v>
      </c>
      <c r="AA6" s="8">
        <v>17.783999999999999</v>
      </c>
      <c r="AB6" s="8">
        <v>17.809100000000001</v>
      </c>
      <c r="AC6" s="9">
        <v>21.156300000000002</v>
      </c>
    </row>
    <row r="7" spans="1:29" x14ac:dyDescent="0.55000000000000004">
      <c r="A7" s="10">
        <v>160</v>
      </c>
      <c r="B7" s="11">
        <v>1024</v>
      </c>
      <c r="C7" s="11">
        <v>40</v>
      </c>
      <c r="D7" s="11">
        <f t="shared" si="0"/>
        <v>50</v>
      </c>
      <c r="E7" s="11">
        <v>1</v>
      </c>
      <c r="F7" s="11">
        <v>29.06</v>
      </c>
      <c r="G7" s="11">
        <v>17.837700000000002</v>
      </c>
      <c r="H7" s="11">
        <v>17.866700000000002</v>
      </c>
      <c r="I7" s="12">
        <v>23.128699999999998</v>
      </c>
      <c r="K7" s="10">
        <v>160</v>
      </c>
      <c r="L7" s="11">
        <v>1024</v>
      </c>
      <c r="M7" s="11">
        <v>64</v>
      </c>
      <c r="N7" s="11">
        <f t="shared" si="1"/>
        <v>240</v>
      </c>
      <c r="O7" s="11">
        <v>1</v>
      </c>
      <c r="P7" s="11">
        <v>49.1</v>
      </c>
      <c r="Q7" s="11">
        <v>17.814499999999999</v>
      </c>
      <c r="R7" s="11">
        <v>17.84</v>
      </c>
      <c r="S7" s="12">
        <v>21.222100000000001</v>
      </c>
      <c r="U7" s="10">
        <v>160</v>
      </c>
      <c r="V7" s="11">
        <v>1024</v>
      </c>
      <c r="W7" s="11">
        <v>64</v>
      </c>
      <c r="X7" s="11">
        <f t="shared" si="2"/>
        <v>240</v>
      </c>
      <c r="Y7" s="11">
        <v>1</v>
      </c>
      <c r="Z7" s="11">
        <v>43.62</v>
      </c>
      <c r="AA7" s="11">
        <v>17.814499999999999</v>
      </c>
      <c r="AB7" s="11">
        <v>17.84</v>
      </c>
      <c r="AC7" s="12">
        <v>21.222100000000001</v>
      </c>
    </row>
    <row r="8" spans="1:29" x14ac:dyDescent="0.55000000000000004">
      <c r="A8" s="1">
        <v>160</v>
      </c>
      <c r="B8" s="2">
        <v>512</v>
      </c>
      <c r="C8" s="2">
        <v>40</v>
      </c>
      <c r="D8" s="2">
        <f t="shared" si="0"/>
        <v>250</v>
      </c>
      <c r="E8" s="2">
        <v>5</v>
      </c>
      <c r="F8" s="2">
        <v>50.68</v>
      </c>
      <c r="G8" s="2">
        <v>18.5153</v>
      </c>
      <c r="H8" s="2">
        <v>18.554200000000002</v>
      </c>
      <c r="I8" s="3">
        <v>24.217199999999998</v>
      </c>
      <c r="K8" s="1">
        <v>160</v>
      </c>
      <c r="L8" s="2">
        <v>512</v>
      </c>
      <c r="M8" s="2">
        <v>64</v>
      </c>
      <c r="N8" s="2">
        <f t="shared" si="1"/>
        <v>1200</v>
      </c>
      <c r="O8" s="2">
        <v>5</v>
      </c>
      <c r="P8" s="2">
        <v>134.13</v>
      </c>
      <c r="Q8" s="2">
        <v>18.453900000000001</v>
      </c>
      <c r="R8" s="2">
        <v>18.5077</v>
      </c>
      <c r="S8" s="3">
        <v>21.890599999999999</v>
      </c>
      <c r="U8" s="1">
        <v>160</v>
      </c>
      <c r="V8" s="2">
        <v>512</v>
      </c>
      <c r="W8" s="2">
        <v>64</v>
      </c>
      <c r="X8" s="2">
        <f t="shared" si="2"/>
        <v>1200</v>
      </c>
      <c r="Y8" s="2">
        <v>5</v>
      </c>
      <c r="Z8" s="2">
        <v>252.3</v>
      </c>
      <c r="AA8" s="2">
        <v>10.689399999999999</v>
      </c>
      <c r="AB8" s="2">
        <v>10.694699999999999</v>
      </c>
      <c r="AC8" s="3">
        <v>11.107100000000001</v>
      </c>
    </row>
    <row r="9" spans="1:29" x14ac:dyDescent="0.55000000000000004">
      <c r="A9" s="13">
        <v>160</v>
      </c>
      <c r="B9" s="14">
        <v>512</v>
      </c>
      <c r="C9" s="14">
        <v>40</v>
      </c>
      <c r="D9" s="14">
        <f t="shared" si="0"/>
        <v>200</v>
      </c>
      <c r="E9" s="14">
        <v>4</v>
      </c>
      <c r="F9" s="14">
        <v>68</v>
      </c>
      <c r="G9" s="14">
        <v>18.553599999999999</v>
      </c>
      <c r="H9" s="14">
        <v>18.595300000000002</v>
      </c>
      <c r="I9" s="15">
        <v>23.067799999999998</v>
      </c>
      <c r="K9" s="4">
        <v>160</v>
      </c>
      <c r="L9" s="5">
        <v>512</v>
      </c>
      <c r="M9" s="5">
        <v>64</v>
      </c>
      <c r="N9" s="5">
        <f t="shared" si="1"/>
        <v>960</v>
      </c>
      <c r="O9" s="5">
        <v>4</v>
      </c>
      <c r="P9" s="5">
        <v>108.11</v>
      </c>
      <c r="Q9" s="5">
        <v>18.414899999999999</v>
      </c>
      <c r="R9" s="5">
        <v>18.4679</v>
      </c>
      <c r="S9" s="6">
        <v>21.8078</v>
      </c>
      <c r="U9" s="4">
        <v>160</v>
      </c>
      <c r="V9" s="5">
        <v>512</v>
      </c>
      <c r="W9" s="5">
        <v>64</v>
      </c>
      <c r="X9" s="5">
        <f t="shared" si="2"/>
        <v>960</v>
      </c>
      <c r="Y9" s="5">
        <v>4</v>
      </c>
      <c r="Z9" s="5">
        <v>247.82</v>
      </c>
      <c r="AA9" s="5">
        <v>13.029400000000001</v>
      </c>
      <c r="AB9" s="5">
        <v>13.0418</v>
      </c>
      <c r="AC9" s="6">
        <v>13.7828</v>
      </c>
    </row>
    <row r="10" spans="1:29" x14ac:dyDescent="0.55000000000000004">
      <c r="A10" s="4">
        <v>160</v>
      </c>
      <c r="B10" s="5">
        <v>512</v>
      </c>
      <c r="C10" s="5">
        <v>40</v>
      </c>
      <c r="D10" s="5">
        <f t="shared" si="0"/>
        <v>150</v>
      </c>
      <c r="E10" s="5">
        <v>3</v>
      </c>
      <c r="F10" s="5">
        <v>34.5</v>
      </c>
      <c r="G10" s="5">
        <v>18.444600000000001</v>
      </c>
      <c r="H10" s="5">
        <v>18.479299999999999</v>
      </c>
      <c r="I10" s="6">
        <v>24.6158</v>
      </c>
      <c r="K10" s="7">
        <v>160</v>
      </c>
      <c r="L10" s="8">
        <v>512</v>
      </c>
      <c r="M10" s="8">
        <v>64</v>
      </c>
      <c r="N10" s="8">
        <f t="shared" si="1"/>
        <v>720</v>
      </c>
      <c r="O10" s="8">
        <v>3</v>
      </c>
      <c r="P10" s="8">
        <v>68.64</v>
      </c>
      <c r="Q10" s="8">
        <v>18.4529</v>
      </c>
      <c r="R10" s="8">
        <v>18.506799999999998</v>
      </c>
      <c r="S10" s="9">
        <v>21.887599999999999</v>
      </c>
      <c r="U10" s="4">
        <v>160</v>
      </c>
      <c r="V10" s="5">
        <v>512</v>
      </c>
      <c r="W10" s="5">
        <v>64</v>
      </c>
      <c r="X10" s="5">
        <f t="shared" si="2"/>
        <v>720</v>
      </c>
      <c r="Y10" s="5">
        <v>3</v>
      </c>
      <c r="Z10" s="5">
        <v>196.82</v>
      </c>
      <c r="AA10" s="5">
        <v>18.381799999999998</v>
      </c>
      <c r="AB10" s="5">
        <v>18.432300000000001</v>
      </c>
      <c r="AC10" s="6">
        <v>21.5319</v>
      </c>
    </row>
    <row r="11" spans="1:29" x14ac:dyDescent="0.55000000000000004">
      <c r="A11" s="4">
        <v>160</v>
      </c>
      <c r="B11" s="5">
        <v>512</v>
      </c>
      <c r="C11" s="5">
        <v>40</v>
      </c>
      <c r="D11" s="5">
        <f t="shared" si="0"/>
        <v>100</v>
      </c>
      <c r="E11" s="5">
        <v>2</v>
      </c>
      <c r="F11" s="5">
        <v>43.84</v>
      </c>
      <c r="G11" s="5">
        <v>18.5076</v>
      </c>
      <c r="H11" s="5">
        <v>18.558599999999998</v>
      </c>
      <c r="I11" s="6">
        <v>22.315899999999999</v>
      </c>
      <c r="K11" s="4">
        <v>160</v>
      </c>
      <c r="L11" s="5">
        <v>512</v>
      </c>
      <c r="M11" s="5">
        <v>64</v>
      </c>
      <c r="N11" s="5">
        <f t="shared" si="1"/>
        <v>480</v>
      </c>
      <c r="O11" s="5">
        <v>2</v>
      </c>
      <c r="P11" s="5">
        <v>58.74</v>
      </c>
      <c r="Q11" s="5">
        <v>18.413499999999999</v>
      </c>
      <c r="R11" s="5">
        <v>18.4666</v>
      </c>
      <c r="S11" s="6">
        <v>21.803999999999998</v>
      </c>
      <c r="U11" s="7">
        <v>160</v>
      </c>
      <c r="V11" s="8">
        <v>512</v>
      </c>
      <c r="W11" s="8">
        <v>64</v>
      </c>
      <c r="X11" s="8">
        <f t="shared" si="2"/>
        <v>480</v>
      </c>
      <c r="Y11" s="8">
        <v>2</v>
      </c>
      <c r="Z11" s="8">
        <v>77.86</v>
      </c>
      <c r="AA11" s="8">
        <v>18.3977</v>
      </c>
      <c r="AB11" s="8">
        <v>18.432300000000001</v>
      </c>
      <c r="AC11" s="9">
        <v>21.766300000000001</v>
      </c>
    </row>
    <row r="12" spans="1:29" x14ac:dyDescent="0.55000000000000004">
      <c r="A12" s="10">
        <v>160</v>
      </c>
      <c r="B12" s="11">
        <v>512</v>
      </c>
      <c r="C12" s="11">
        <v>40</v>
      </c>
      <c r="D12" s="11">
        <f t="shared" si="0"/>
        <v>50</v>
      </c>
      <c r="E12" s="11">
        <v>1</v>
      </c>
      <c r="F12" s="11">
        <v>28.93</v>
      </c>
      <c r="G12" s="11">
        <v>17.8294</v>
      </c>
      <c r="H12" s="11">
        <v>17.886299999999999</v>
      </c>
      <c r="I12" s="12">
        <v>30.082899999999999</v>
      </c>
      <c r="K12" s="10">
        <v>160</v>
      </c>
      <c r="L12" s="11">
        <v>512</v>
      </c>
      <c r="M12" s="11">
        <v>64</v>
      </c>
      <c r="N12" s="11">
        <f t="shared" si="1"/>
        <v>240</v>
      </c>
      <c r="O12" s="11">
        <v>1</v>
      </c>
      <c r="P12" s="11">
        <v>36.479999999999997</v>
      </c>
      <c r="Q12" s="11">
        <v>18.406400000000001</v>
      </c>
      <c r="R12" s="11">
        <v>18.457000000000001</v>
      </c>
      <c r="S12" s="12">
        <v>21.586099999999998</v>
      </c>
      <c r="U12" s="10">
        <v>160</v>
      </c>
      <c r="V12" s="11">
        <v>512</v>
      </c>
      <c r="W12" s="11">
        <v>64</v>
      </c>
      <c r="X12" s="11">
        <f t="shared" si="2"/>
        <v>240</v>
      </c>
      <c r="Y12" s="11">
        <v>1</v>
      </c>
      <c r="Z12" s="11">
        <v>38.44</v>
      </c>
      <c r="AA12" s="11">
        <v>18.406400000000001</v>
      </c>
      <c r="AB12" s="11">
        <v>18.457000000000001</v>
      </c>
      <c r="AC12" s="12">
        <v>21.586099999999998</v>
      </c>
    </row>
    <row r="13" spans="1:29" x14ac:dyDescent="0.55000000000000004">
      <c r="A13" s="1">
        <v>160</v>
      </c>
      <c r="B13" s="2">
        <v>256</v>
      </c>
      <c r="C13" s="2">
        <v>40</v>
      </c>
      <c r="D13" s="2">
        <f t="shared" si="0"/>
        <v>250</v>
      </c>
      <c r="E13" s="2">
        <v>5</v>
      </c>
      <c r="F13" s="2">
        <v>52.49</v>
      </c>
      <c r="G13" s="2">
        <v>19.493500000000001</v>
      </c>
      <c r="H13" s="2">
        <v>19.6097</v>
      </c>
      <c r="I13" s="3">
        <v>30.896100000000001</v>
      </c>
      <c r="K13" s="1">
        <v>160</v>
      </c>
      <c r="L13" s="2">
        <v>256</v>
      </c>
      <c r="M13" s="2">
        <v>64</v>
      </c>
      <c r="N13" s="2">
        <f t="shared" si="1"/>
        <v>1200</v>
      </c>
      <c r="O13" s="2">
        <v>5</v>
      </c>
      <c r="P13" s="2">
        <v>125.75</v>
      </c>
      <c r="Q13" s="2">
        <v>19.9328</v>
      </c>
      <c r="R13" s="2">
        <v>20.037400000000002</v>
      </c>
      <c r="S13" s="3">
        <v>24.229099999999999</v>
      </c>
      <c r="U13" s="1">
        <v>160</v>
      </c>
      <c r="V13" s="2">
        <v>256</v>
      </c>
      <c r="W13" s="2">
        <v>64</v>
      </c>
      <c r="X13" s="2">
        <f t="shared" si="2"/>
        <v>1200</v>
      </c>
      <c r="Y13" s="2">
        <v>5</v>
      </c>
      <c r="Z13" s="2">
        <v>253.53</v>
      </c>
      <c r="AA13" s="2">
        <v>9.1096800000000009</v>
      </c>
      <c r="AB13" s="2">
        <v>9.1098099999999995</v>
      </c>
      <c r="AC13" s="3">
        <v>9.3748299999999993</v>
      </c>
    </row>
    <row r="14" spans="1:29" x14ac:dyDescent="0.55000000000000004">
      <c r="A14" s="7">
        <v>160</v>
      </c>
      <c r="B14" s="8">
        <v>256</v>
      </c>
      <c r="C14" s="8">
        <v>40</v>
      </c>
      <c r="D14" s="8">
        <f t="shared" si="0"/>
        <v>200</v>
      </c>
      <c r="E14" s="8">
        <v>4</v>
      </c>
      <c r="F14" s="8">
        <v>67.900000000000006</v>
      </c>
      <c r="G14" s="8">
        <v>19.948</v>
      </c>
      <c r="H14" s="8">
        <v>20.0686</v>
      </c>
      <c r="I14" s="9">
        <v>25.4785</v>
      </c>
      <c r="K14" s="4">
        <v>160</v>
      </c>
      <c r="L14" s="5">
        <v>256</v>
      </c>
      <c r="M14" s="5">
        <v>64</v>
      </c>
      <c r="N14" s="5">
        <f t="shared" si="1"/>
        <v>960</v>
      </c>
      <c r="O14" s="5">
        <v>4</v>
      </c>
      <c r="P14" s="5">
        <v>104.03</v>
      </c>
      <c r="Q14" s="5">
        <v>19.942499999999999</v>
      </c>
      <c r="R14" s="5">
        <v>20.0337</v>
      </c>
      <c r="S14" s="6">
        <v>23.765000000000001</v>
      </c>
      <c r="U14" s="4">
        <v>160</v>
      </c>
      <c r="V14" s="5">
        <v>256</v>
      </c>
      <c r="W14" s="5">
        <v>64</v>
      </c>
      <c r="X14" s="5">
        <f t="shared" si="2"/>
        <v>960</v>
      </c>
      <c r="Y14" s="5">
        <v>4</v>
      </c>
      <c r="Z14" s="5">
        <v>164.93</v>
      </c>
      <c r="AA14" s="5">
        <v>9.8092900000000007</v>
      </c>
      <c r="AB14" s="5">
        <v>9.8105700000000002</v>
      </c>
      <c r="AC14" s="6">
        <v>10.1317</v>
      </c>
    </row>
    <row r="15" spans="1:29" x14ac:dyDescent="0.55000000000000004">
      <c r="A15" s="4">
        <v>160</v>
      </c>
      <c r="B15" s="5">
        <v>256</v>
      </c>
      <c r="C15" s="5">
        <v>40</v>
      </c>
      <c r="D15" s="5">
        <f t="shared" si="0"/>
        <v>150</v>
      </c>
      <c r="E15" s="5">
        <v>3</v>
      </c>
      <c r="F15" s="5">
        <v>34.92</v>
      </c>
      <c r="G15" s="5">
        <v>19.4788</v>
      </c>
      <c r="H15" s="5">
        <v>19.5946</v>
      </c>
      <c r="I15" s="6">
        <v>30.7211</v>
      </c>
      <c r="K15" s="7">
        <v>160</v>
      </c>
      <c r="L15" s="8">
        <v>256</v>
      </c>
      <c r="M15" s="8">
        <v>64</v>
      </c>
      <c r="N15" s="8">
        <f t="shared" si="1"/>
        <v>720</v>
      </c>
      <c r="O15" s="8">
        <v>3</v>
      </c>
      <c r="P15" s="8">
        <v>64.97</v>
      </c>
      <c r="Q15" s="8">
        <v>19.944500000000001</v>
      </c>
      <c r="R15" s="8">
        <v>20.035799999999998</v>
      </c>
      <c r="S15" s="9">
        <v>23.758700000000001</v>
      </c>
      <c r="U15" s="4">
        <v>160</v>
      </c>
      <c r="V15" s="5">
        <v>256</v>
      </c>
      <c r="W15" s="5">
        <v>64</v>
      </c>
      <c r="X15" s="5">
        <f t="shared" si="2"/>
        <v>720</v>
      </c>
      <c r="Y15" s="5">
        <v>3</v>
      </c>
      <c r="Z15" s="5">
        <v>104.52</v>
      </c>
      <c r="AA15" s="5">
        <v>15.331300000000001</v>
      </c>
      <c r="AB15" s="5">
        <v>15.349</v>
      </c>
      <c r="AC15" s="6">
        <v>16.359000000000002</v>
      </c>
    </row>
    <row r="16" spans="1:29" x14ac:dyDescent="0.55000000000000004">
      <c r="A16" s="4">
        <v>160</v>
      </c>
      <c r="B16" s="5">
        <v>256</v>
      </c>
      <c r="C16" s="5">
        <v>40</v>
      </c>
      <c r="D16" s="5">
        <f t="shared" si="0"/>
        <v>100</v>
      </c>
      <c r="E16" s="5">
        <v>2</v>
      </c>
      <c r="F16" s="5">
        <v>39.51</v>
      </c>
      <c r="G16" s="5">
        <v>19.267199999999999</v>
      </c>
      <c r="H16" s="5">
        <v>19.3765</v>
      </c>
      <c r="I16" s="6">
        <v>29.204699999999999</v>
      </c>
      <c r="K16" s="4">
        <v>160</v>
      </c>
      <c r="L16" s="5">
        <v>256</v>
      </c>
      <c r="M16" s="5">
        <v>64</v>
      </c>
      <c r="N16" s="5">
        <f t="shared" si="1"/>
        <v>480</v>
      </c>
      <c r="O16" s="5">
        <v>2</v>
      </c>
      <c r="P16" s="5">
        <v>52.37</v>
      </c>
      <c r="Q16" s="5">
        <v>19.935500000000001</v>
      </c>
      <c r="R16" s="5">
        <v>20.026199999999999</v>
      </c>
      <c r="S16" s="6">
        <v>23.745000000000001</v>
      </c>
      <c r="U16" s="7">
        <v>160</v>
      </c>
      <c r="V16" s="8">
        <v>256</v>
      </c>
      <c r="W16" s="8">
        <v>64</v>
      </c>
      <c r="X16" s="8">
        <f t="shared" si="2"/>
        <v>480</v>
      </c>
      <c r="Y16" s="8">
        <v>2</v>
      </c>
      <c r="Z16" s="8">
        <v>58.6</v>
      </c>
      <c r="AA16" s="8">
        <v>19.904299999999999</v>
      </c>
      <c r="AB16" s="8">
        <v>19.995000000000001</v>
      </c>
      <c r="AC16" s="9">
        <v>23.663499999999999</v>
      </c>
    </row>
    <row r="17" spans="1:29" x14ac:dyDescent="0.55000000000000004">
      <c r="A17" s="10">
        <v>160</v>
      </c>
      <c r="B17" s="11">
        <v>256</v>
      </c>
      <c r="C17" s="11">
        <v>40</v>
      </c>
      <c r="D17" s="11">
        <f t="shared" si="0"/>
        <v>50</v>
      </c>
      <c r="E17" s="11">
        <v>1</v>
      </c>
      <c r="F17" s="11">
        <v>27.29</v>
      </c>
      <c r="G17" s="11">
        <v>19.755600000000001</v>
      </c>
      <c r="H17" s="11">
        <v>19.868500000000001</v>
      </c>
      <c r="I17" s="12">
        <v>24.999199999999998</v>
      </c>
      <c r="K17" s="10">
        <v>160</v>
      </c>
      <c r="L17" s="11">
        <v>256</v>
      </c>
      <c r="M17" s="11">
        <v>64</v>
      </c>
      <c r="N17" s="11">
        <f t="shared" si="1"/>
        <v>240</v>
      </c>
      <c r="O17" s="11">
        <v>1</v>
      </c>
      <c r="P17" s="11">
        <v>27.91</v>
      </c>
      <c r="Q17" s="11">
        <v>19.918199999999999</v>
      </c>
      <c r="R17" s="11">
        <v>19.997499999999999</v>
      </c>
      <c r="S17" s="12">
        <v>23.313600000000001</v>
      </c>
      <c r="U17" s="10">
        <v>160</v>
      </c>
      <c r="V17" s="11">
        <v>256</v>
      </c>
      <c r="W17" s="11">
        <v>64</v>
      </c>
      <c r="X17" s="11">
        <f t="shared" si="2"/>
        <v>240</v>
      </c>
      <c r="Y17" s="11">
        <v>1</v>
      </c>
      <c r="Z17" s="11">
        <v>33.380000000000003</v>
      </c>
      <c r="AA17" s="11">
        <v>19.918199999999999</v>
      </c>
      <c r="AB17" s="11">
        <v>19.997499999999999</v>
      </c>
      <c r="AC17" s="12">
        <v>23.313600000000001</v>
      </c>
    </row>
    <row r="18" spans="1:29" x14ac:dyDescent="0.55000000000000004">
      <c r="A18" s="1">
        <v>80</v>
      </c>
      <c r="B18" s="2">
        <v>1024</v>
      </c>
      <c r="C18" s="2">
        <v>40</v>
      </c>
      <c r="D18" s="2">
        <f t="shared" si="0"/>
        <v>250</v>
      </c>
      <c r="E18" s="2">
        <v>5</v>
      </c>
      <c r="F18" s="2">
        <v>62.18</v>
      </c>
      <c r="G18" s="2">
        <v>20.165700000000001</v>
      </c>
      <c r="H18" s="2">
        <v>20.3367</v>
      </c>
      <c r="I18" s="3">
        <v>27.3597</v>
      </c>
      <c r="K18" s="1">
        <v>80</v>
      </c>
      <c r="L18" s="2">
        <v>1024</v>
      </c>
      <c r="M18" s="2">
        <v>64</v>
      </c>
      <c r="N18" s="2">
        <f t="shared" si="1"/>
        <v>1200</v>
      </c>
      <c r="O18" s="2">
        <v>5</v>
      </c>
      <c r="P18" s="2">
        <v>89.3</v>
      </c>
      <c r="Q18" s="2">
        <v>20.3218</v>
      </c>
      <c r="R18" s="2">
        <v>20.4392</v>
      </c>
      <c r="S18" s="3">
        <v>23.827000000000002</v>
      </c>
      <c r="U18" s="1">
        <v>80</v>
      </c>
      <c r="V18" s="2">
        <v>1024</v>
      </c>
      <c r="W18" s="2">
        <v>64</v>
      </c>
      <c r="X18" s="2">
        <f t="shared" si="2"/>
        <v>1200</v>
      </c>
      <c r="Y18" s="2">
        <v>5</v>
      </c>
      <c r="Z18" s="2">
        <v>247.49</v>
      </c>
      <c r="AA18" s="2">
        <v>15.1221</v>
      </c>
      <c r="AB18" s="2">
        <v>15.1608</v>
      </c>
      <c r="AC18" s="3">
        <v>15.7859</v>
      </c>
    </row>
    <row r="19" spans="1:29" x14ac:dyDescent="0.55000000000000004">
      <c r="A19" s="4">
        <v>80</v>
      </c>
      <c r="B19" s="5">
        <v>1024</v>
      </c>
      <c r="C19" s="5">
        <v>40</v>
      </c>
      <c r="D19" s="5">
        <f t="shared" si="0"/>
        <v>200</v>
      </c>
      <c r="E19" s="5">
        <v>4</v>
      </c>
      <c r="F19" s="5">
        <v>77.33</v>
      </c>
      <c r="G19" s="5">
        <v>20.264800000000001</v>
      </c>
      <c r="H19" s="5">
        <v>20.429300000000001</v>
      </c>
      <c r="I19" s="6">
        <v>25.8353</v>
      </c>
      <c r="K19" s="4">
        <v>80</v>
      </c>
      <c r="L19" s="5">
        <v>1024</v>
      </c>
      <c r="M19" s="5">
        <v>64</v>
      </c>
      <c r="N19" s="5">
        <f t="shared" si="1"/>
        <v>960</v>
      </c>
      <c r="O19" s="5">
        <v>4</v>
      </c>
      <c r="P19" s="5">
        <v>83.78</v>
      </c>
      <c r="Q19" s="5">
        <v>20.319900000000001</v>
      </c>
      <c r="R19" s="5">
        <v>20.436599999999999</v>
      </c>
      <c r="S19" s="6">
        <v>23.822800000000001</v>
      </c>
      <c r="U19" s="4">
        <v>80</v>
      </c>
      <c r="V19" s="5">
        <v>1024</v>
      </c>
      <c r="W19" s="5">
        <v>64</v>
      </c>
      <c r="X19" s="5">
        <f t="shared" si="2"/>
        <v>960</v>
      </c>
      <c r="Y19" s="5">
        <v>4</v>
      </c>
      <c r="Z19" s="5">
        <v>176.86</v>
      </c>
      <c r="AA19" s="5">
        <v>19.264600000000002</v>
      </c>
      <c r="AB19" s="5">
        <v>19.367100000000001</v>
      </c>
      <c r="AC19" s="6">
        <v>21.494900000000001</v>
      </c>
    </row>
    <row r="20" spans="1:29" x14ac:dyDescent="0.55000000000000004">
      <c r="A20" s="7">
        <v>80</v>
      </c>
      <c r="B20" s="8">
        <v>1024</v>
      </c>
      <c r="C20" s="8">
        <v>40</v>
      </c>
      <c r="D20" s="8">
        <f t="shared" si="0"/>
        <v>150</v>
      </c>
      <c r="E20" s="8">
        <v>3</v>
      </c>
      <c r="F20" s="8">
        <v>43.39</v>
      </c>
      <c r="G20" s="8">
        <v>20.286100000000001</v>
      </c>
      <c r="H20" s="8">
        <v>20.451599999999999</v>
      </c>
      <c r="I20" s="9">
        <v>25.8691</v>
      </c>
      <c r="K20" s="7">
        <v>80</v>
      </c>
      <c r="L20" s="8">
        <v>1024</v>
      </c>
      <c r="M20" s="8">
        <v>64</v>
      </c>
      <c r="N20" s="8">
        <f t="shared" si="1"/>
        <v>720</v>
      </c>
      <c r="O20" s="8">
        <v>3</v>
      </c>
      <c r="P20" s="8">
        <v>59.34</v>
      </c>
      <c r="Q20" s="8">
        <v>20.3186</v>
      </c>
      <c r="R20" s="8">
        <v>20.435400000000001</v>
      </c>
      <c r="S20" s="9">
        <v>23.8216</v>
      </c>
      <c r="U20" s="4">
        <v>80</v>
      </c>
      <c r="V20" s="5">
        <v>1024</v>
      </c>
      <c r="W20" s="5">
        <v>64</v>
      </c>
      <c r="X20" s="5">
        <f t="shared" si="2"/>
        <v>720</v>
      </c>
      <c r="Y20" s="5">
        <v>3</v>
      </c>
      <c r="Z20" s="5">
        <v>117.13</v>
      </c>
      <c r="AA20" s="5">
        <v>20.3262</v>
      </c>
      <c r="AB20" s="5">
        <v>20.453700000000001</v>
      </c>
      <c r="AC20" s="6">
        <v>23.459299999999999</v>
      </c>
    </row>
    <row r="21" spans="1:29" x14ac:dyDescent="0.55000000000000004">
      <c r="A21" s="4">
        <v>80</v>
      </c>
      <c r="B21" s="5">
        <v>1024</v>
      </c>
      <c r="C21" s="5">
        <v>40</v>
      </c>
      <c r="D21" s="5">
        <f t="shared" si="0"/>
        <v>100</v>
      </c>
      <c r="E21" s="5">
        <v>2</v>
      </c>
      <c r="F21" s="5">
        <v>48.74</v>
      </c>
      <c r="G21" s="5">
        <v>20.1646</v>
      </c>
      <c r="H21" s="5">
        <v>20.3291</v>
      </c>
      <c r="I21" s="6">
        <v>26.513400000000001</v>
      </c>
      <c r="K21" s="4">
        <v>80</v>
      </c>
      <c r="L21" s="5">
        <v>1024</v>
      </c>
      <c r="M21" s="5">
        <v>64</v>
      </c>
      <c r="N21" s="5">
        <f t="shared" si="1"/>
        <v>480</v>
      </c>
      <c r="O21" s="5">
        <v>2</v>
      </c>
      <c r="P21" s="5">
        <v>61.62</v>
      </c>
      <c r="Q21" s="5">
        <v>20.3398</v>
      </c>
      <c r="R21" s="5">
        <v>20.469000000000001</v>
      </c>
      <c r="S21" s="6">
        <v>23.296900000000001</v>
      </c>
      <c r="U21" s="7">
        <v>80</v>
      </c>
      <c r="V21" s="8">
        <v>1024</v>
      </c>
      <c r="W21" s="8">
        <v>64</v>
      </c>
      <c r="X21" s="8">
        <f t="shared" si="2"/>
        <v>480</v>
      </c>
      <c r="Y21" s="8">
        <v>2</v>
      </c>
      <c r="Z21" s="8">
        <v>76.25</v>
      </c>
      <c r="AA21" s="8">
        <v>20.3215</v>
      </c>
      <c r="AB21" s="8">
        <v>20.4495</v>
      </c>
      <c r="AC21" s="9">
        <v>23.256900000000002</v>
      </c>
    </row>
    <row r="22" spans="1:29" x14ac:dyDescent="0.55000000000000004">
      <c r="A22" s="10">
        <v>80</v>
      </c>
      <c r="B22" s="11">
        <v>1024</v>
      </c>
      <c r="C22" s="11">
        <v>40</v>
      </c>
      <c r="D22" s="11">
        <f t="shared" si="0"/>
        <v>50</v>
      </c>
      <c r="E22" s="11">
        <v>1</v>
      </c>
      <c r="F22" s="11">
        <v>34.04</v>
      </c>
      <c r="G22" s="11">
        <v>19.5657</v>
      </c>
      <c r="H22" s="11">
        <v>19.716999999999999</v>
      </c>
      <c r="I22" s="12">
        <v>31.6434</v>
      </c>
      <c r="K22" s="10">
        <v>80</v>
      </c>
      <c r="L22" s="11">
        <v>1024</v>
      </c>
      <c r="M22" s="11">
        <v>64</v>
      </c>
      <c r="N22" s="11">
        <f t="shared" si="1"/>
        <v>240</v>
      </c>
      <c r="O22" s="11">
        <v>1</v>
      </c>
      <c r="P22" s="11">
        <v>45.5</v>
      </c>
      <c r="Q22" s="11">
        <v>20.3583</v>
      </c>
      <c r="R22" s="11">
        <v>20.4861</v>
      </c>
      <c r="S22" s="12">
        <v>23.525300000000001</v>
      </c>
      <c r="U22" s="10">
        <v>80</v>
      </c>
      <c r="V22" s="11">
        <v>1024</v>
      </c>
      <c r="W22" s="11">
        <v>64</v>
      </c>
      <c r="X22" s="11">
        <f t="shared" si="2"/>
        <v>240</v>
      </c>
      <c r="Y22" s="11">
        <v>1</v>
      </c>
      <c r="Z22" s="11">
        <v>54.52</v>
      </c>
      <c r="AA22" s="11">
        <v>20.3583</v>
      </c>
      <c r="AB22" s="11">
        <v>20.4861</v>
      </c>
      <c r="AC22" s="12">
        <v>23.525300000000001</v>
      </c>
    </row>
    <row r="23" spans="1:29" x14ac:dyDescent="0.55000000000000004">
      <c r="A23" s="1">
        <v>80</v>
      </c>
      <c r="B23" s="2">
        <v>512</v>
      </c>
      <c r="C23" s="2">
        <v>40</v>
      </c>
      <c r="D23" s="2">
        <f t="shared" si="0"/>
        <v>250</v>
      </c>
      <c r="E23" s="2">
        <v>5</v>
      </c>
      <c r="F23" s="2">
        <v>54.38</v>
      </c>
      <c r="G23" s="2">
        <v>20.299900000000001</v>
      </c>
      <c r="H23" s="2">
        <v>20.643699999999999</v>
      </c>
      <c r="I23" s="3">
        <v>36.323</v>
      </c>
      <c r="K23" s="1">
        <v>80</v>
      </c>
      <c r="L23" s="2">
        <v>512</v>
      </c>
      <c r="M23" s="2">
        <v>64</v>
      </c>
      <c r="N23" s="2">
        <f t="shared" si="1"/>
        <v>1200</v>
      </c>
      <c r="O23" s="2">
        <v>5</v>
      </c>
      <c r="P23" s="2">
        <v>71.34</v>
      </c>
      <c r="Q23" s="2">
        <v>20.915800000000001</v>
      </c>
      <c r="R23" s="2">
        <v>21.258199999999999</v>
      </c>
      <c r="S23" s="3">
        <v>25.197900000000001</v>
      </c>
      <c r="U23" s="1">
        <v>80</v>
      </c>
      <c r="V23" s="2">
        <v>512</v>
      </c>
      <c r="W23" s="2">
        <v>64</v>
      </c>
      <c r="X23" s="2">
        <f t="shared" si="2"/>
        <v>1200</v>
      </c>
      <c r="Y23" s="2">
        <v>5</v>
      </c>
      <c r="Z23" s="2">
        <v>249.77</v>
      </c>
      <c r="AA23" s="2">
        <v>10.295199999999999</v>
      </c>
      <c r="AB23" s="2">
        <v>10.3027</v>
      </c>
      <c r="AC23" s="3">
        <v>10.5722</v>
      </c>
    </row>
    <row r="24" spans="1:29" x14ac:dyDescent="0.55000000000000004">
      <c r="A24" s="13">
        <v>80</v>
      </c>
      <c r="B24" s="14">
        <v>512</v>
      </c>
      <c r="C24" s="14">
        <v>40</v>
      </c>
      <c r="D24" s="14">
        <f t="shared" si="0"/>
        <v>200</v>
      </c>
      <c r="E24" s="14">
        <v>4</v>
      </c>
      <c r="F24" s="14">
        <v>70.56</v>
      </c>
      <c r="G24" s="14">
        <v>20.648900000000001</v>
      </c>
      <c r="H24" s="14">
        <v>20.994499999999999</v>
      </c>
      <c r="I24" s="15">
        <v>28.431100000000001</v>
      </c>
      <c r="K24" s="4">
        <v>80</v>
      </c>
      <c r="L24" s="5">
        <v>512</v>
      </c>
      <c r="M24" s="5">
        <v>64</v>
      </c>
      <c r="N24" s="5">
        <f t="shared" si="1"/>
        <v>960</v>
      </c>
      <c r="O24" s="5">
        <v>4</v>
      </c>
      <c r="P24" s="5">
        <v>70.38</v>
      </c>
      <c r="Q24" s="5">
        <v>20.9255</v>
      </c>
      <c r="R24" s="5">
        <v>21.265000000000001</v>
      </c>
      <c r="S24" s="6">
        <v>24.6433</v>
      </c>
      <c r="U24" s="4">
        <v>80</v>
      </c>
      <c r="V24" s="5">
        <v>512</v>
      </c>
      <c r="W24" s="5">
        <v>64</v>
      </c>
      <c r="X24" s="5">
        <f t="shared" si="2"/>
        <v>960</v>
      </c>
      <c r="Y24" s="5">
        <v>4</v>
      </c>
      <c r="Z24" s="5">
        <v>167.82</v>
      </c>
      <c r="AA24" s="5">
        <v>13.4457</v>
      </c>
      <c r="AB24" s="5">
        <v>13.489800000000001</v>
      </c>
      <c r="AC24" s="6">
        <v>13.986599999999999</v>
      </c>
    </row>
    <row r="25" spans="1:29" x14ac:dyDescent="0.55000000000000004">
      <c r="A25" s="4">
        <v>80</v>
      </c>
      <c r="B25" s="5">
        <v>512</v>
      </c>
      <c r="C25" s="5">
        <v>40</v>
      </c>
      <c r="D25" s="5">
        <f t="shared" si="0"/>
        <v>150</v>
      </c>
      <c r="E25" s="5">
        <v>3</v>
      </c>
      <c r="F25" s="5">
        <v>39.57</v>
      </c>
      <c r="G25" s="5">
        <v>19.872800000000002</v>
      </c>
      <c r="H25" s="5">
        <v>20.187100000000001</v>
      </c>
      <c r="I25" s="6">
        <v>36.188699999999997</v>
      </c>
      <c r="K25" s="7">
        <v>80</v>
      </c>
      <c r="L25" s="8">
        <v>512</v>
      </c>
      <c r="M25" s="8">
        <v>64</v>
      </c>
      <c r="N25" s="8">
        <f t="shared" si="1"/>
        <v>720</v>
      </c>
      <c r="O25" s="8">
        <v>3</v>
      </c>
      <c r="P25" s="8">
        <v>48.66</v>
      </c>
      <c r="Q25" s="8">
        <v>20.914100000000001</v>
      </c>
      <c r="R25" s="8">
        <v>21.255800000000001</v>
      </c>
      <c r="S25" s="9">
        <v>25.193999999999999</v>
      </c>
      <c r="U25" s="4">
        <v>80</v>
      </c>
      <c r="V25" s="5">
        <v>512</v>
      </c>
      <c r="W25" s="5">
        <v>64</v>
      </c>
      <c r="X25" s="5">
        <f t="shared" si="2"/>
        <v>720</v>
      </c>
      <c r="Y25" s="5">
        <v>3</v>
      </c>
      <c r="Z25" s="5">
        <v>106.77</v>
      </c>
      <c r="AA25" s="5">
        <v>20.869900000000001</v>
      </c>
      <c r="AB25" s="5">
        <v>21.206299999999999</v>
      </c>
      <c r="AC25" s="6">
        <v>24.513200000000001</v>
      </c>
    </row>
    <row r="26" spans="1:29" x14ac:dyDescent="0.55000000000000004">
      <c r="A26" s="7">
        <v>80</v>
      </c>
      <c r="B26" s="8">
        <v>512</v>
      </c>
      <c r="C26" s="8">
        <v>40</v>
      </c>
      <c r="D26" s="8">
        <f t="shared" si="0"/>
        <v>100</v>
      </c>
      <c r="E26" s="8">
        <v>2</v>
      </c>
      <c r="F26" s="8">
        <v>43.23</v>
      </c>
      <c r="G26" s="8">
        <v>20.6799</v>
      </c>
      <c r="H26" s="8">
        <v>21.0092</v>
      </c>
      <c r="I26" s="9">
        <v>25.779699999999998</v>
      </c>
      <c r="K26" s="4">
        <v>80</v>
      </c>
      <c r="L26" s="5">
        <v>512</v>
      </c>
      <c r="M26" s="5">
        <v>64</v>
      </c>
      <c r="N26" s="5">
        <f t="shared" si="1"/>
        <v>480</v>
      </c>
      <c r="O26" s="5">
        <v>2</v>
      </c>
      <c r="P26" s="5">
        <v>49.31</v>
      </c>
      <c r="Q26" s="5">
        <v>20.9054</v>
      </c>
      <c r="R26" s="5">
        <v>21.247800000000002</v>
      </c>
      <c r="S26" s="6">
        <v>25.177800000000001</v>
      </c>
      <c r="U26" s="7">
        <v>80</v>
      </c>
      <c r="V26" s="8">
        <v>512</v>
      </c>
      <c r="W26" s="8">
        <v>64</v>
      </c>
      <c r="X26" s="8">
        <f t="shared" si="2"/>
        <v>480</v>
      </c>
      <c r="Y26" s="8">
        <v>2</v>
      </c>
      <c r="Z26" s="8">
        <v>63.49</v>
      </c>
      <c r="AA26" s="8">
        <v>20.8779</v>
      </c>
      <c r="AB26" s="8">
        <v>21.2179</v>
      </c>
      <c r="AC26" s="9">
        <v>25.097799999999999</v>
      </c>
    </row>
    <row r="27" spans="1:29" x14ac:dyDescent="0.55000000000000004">
      <c r="A27" s="10">
        <v>80</v>
      </c>
      <c r="B27" s="11">
        <v>512</v>
      </c>
      <c r="C27" s="11">
        <v>40</v>
      </c>
      <c r="D27" s="11">
        <f t="shared" si="0"/>
        <v>50</v>
      </c>
      <c r="E27" s="11">
        <v>1</v>
      </c>
      <c r="F27" s="11">
        <v>29.55</v>
      </c>
      <c r="G27" s="11">
        <v>18.729800000000001</v>
      </c>
      <c r="H27" s="11">
        <v>18.935700000000001</v>
      </c>
      <c r="I27" s="12">
        <v>26.334399999999999</v>
      </c>
      <c r="K27" s="10">
        <v>80</v>
      </c>
      <c r="L27" s="11">
        <v>512</v>
      </c>
      <c r="M27" s="11">
        <v>64</v>
      </c>
      <c r="N27" s="11">
        <f t="shared" si="1"/>
        <v>240</v>
      </c>
      <c r="O27" s="11">
        <v>1</v>
      </c>
      <c r="P27" s="11">
        <v>34.11</v>
      </c>
      <c r="Q27" s="11">
        <v>20.9086</v>
      </c>
      <c r="R27" s="11">
        <v>21.246500000000001</v>
      </c>
      <c r="S27" s="12">
        <v>24.6187</v>
      </c>
      <c r="U27" s="10">
        <v>80</v>
      </c>
      <c r="V27" s="11">
        <v>512</v>
      </c>
      <c r="W27" s="11">
        <v>64</v>
      </c>
      <c r="X27" s="11">
        <f t="shared" si="2"/>
        <v>240</v>
      </c>
      <c r="Y27" s="11">
        <v>1</v>
      </c>
      <c r="Z27" s="11">
        <v>43.06</v>
      </c>
      <c r="AA27" s="11">
        <v>20.9086</v>
      </c>
      <c r="AB27" s="11">
        <v>21.246500000000001</v>
      </c>
      <c r="AC27" s="12">
        <v>24.6187</v>
      </c>
    </row>
    <row r="28" spans="1:29" x14ac:dyDescent="0.55000000000000004">
      <c r="A28" s="1">
        <v>80</v>
      </c>
      <c r="B28" s="2">
        <v>256</v>
      </c>
      <c r="C28" s="2">
        <v>40</v>
      </c>
      <c r="D28" s="2">
        <f t="shared" si="0"/>
        <v>250</v>
      </c>
      <c r="E28" s="2">
        <v>5</v>
      </c>
      <c r="F28" s="2">
        <v>50.3</v>
      </c>
      <c r="G28" s="2">
        <v>20.1279</v>
      </c>
      <c r="H28" s="2">
        <v>20.800699999999999</v>
      </c>
      <c r="I28" s="3">
        <v>30.707699999999999</v>
      </c>
      <c r="K28" s="1">
        <v>80</v>
      </c>
      <c r="L28" s="2">
        <v>256</v>
      </c>
      <c r="M28" s="2">
        <v>64</v>
      </c>
      <c r="N28" s="2">
        <f t="shared" si="1"/>
        <v>1200</v>
      </c>
      <c r="O28" s="2">
        <v>5</v>
      </c>
      <c r="P28" s="2">
        <v>67.040000000000006</v>
      </c>
      <c r="Q28" s="2">
        <v>22.071899999999999</v>
      </c>
      <c r="R28" s="2">
        <v>23.075600000000001</v>
      </c>
      <c r="S28" s="3">
        <v>27.419699999999999</v>
      </c>
      <c r="U28" s="1">
        <v>80</v>
      </c>
      <c r="V28" s="2">
        <v>256</v>
      </c>
      <c r="W28" s="2">
        <v>64</v>
      </c>
      <c r="X28" s="2">
        <f t="shared" si="2"/>
        <v>1200</v>
      </c>
      <c r="Y28" s="2">
        <v>5</v>
      </c>
      <c r="Z28" s="2">
        <v>246.27</v>
      </c>
      <c r="AA28" s="2">
        <v>8.9498899999999999</v>
      </c>
      <c r="AB28" s="2">
        <v>8.9587699999999995</v>
      </c>
      <c r="AC28" s="3">
        <v>9.1058400000000006</v>
      </c>
    </row>
    <row r="29" spans="1:29" x14ac:dyDescent="0.55000000000000004">
      <c r="A29" s="4">
        <v>80</v>
      </c>
      <c r="B29" s="5">
        <v>256</v>
      </c>
      <c r="C29" s="5">
        <v>40</v>
      </c>
      <c r="D29" s="5">
        <f t="shared" si="0"/>
        <v>200</v>
      </c>
      <c r="E29" s="5">
        <v>4</v>
      </c>
      <c r="F29" s="5">
        <v>65.58</v>
      </c>
      <c r="G29" s="5">
        <v>20.013000000000002</v>
      </c>
      <c r="H29" s="5">
        <v>20.6555</v>
      </c>
      <c r="I29" s="6">
        <v>29.381699999999999</v>
      </c>
      <c r="K29" s="4">
        <v>80</v>
      </c>
      <c r="L29" s="5">
        <v>256</v>
      </c>
      <c r="M29" s="5">
        <v>64</v>
      </c>
      <c r="N29" s="5">
        <f t="shared" si="1"/>
        <v>960</v>
      </c>
      <c r="O29" s="5">
        <v>4</v>
      </c>
      <c r="P29" s="5">
        <v>64.709999999999994</v>
      </c>
      <c r="Q29" s="5">
        <v>22.139700000000001</v>
      </c>
      <c r="R29" s="5">
        <v>23.133199999999999</v>
      </c>
      <c r="S29" s="6">
        <v>25.0107</v>
      </c>
      <c r="U29" s="4">
        <v>80</v>
      </c>
      <c r="V29" s="5">
        <v>256</v>
      </c>
      <c r="W29" s="5">
        <v>64</v>
      </c>
      <c r="X29" s="5">
        <f t="shared" si="2"/>
        <v>960</v>
      </c>
      <c r="Y29" s="5">
        <v>4</v>
      </c>
      <c r="Z29" s="5">
        <v>174.6</v>
      </c>
      <c r="AA29" s="5">
        <v>10.807</v>
      </c>
      <c r="AB29" s="5">
        <v>10.830500000000001</v>
      </c>
      <c r="AC29" s="6">
        <v>11.0214</v>
      </c>
    </row>
    <row r="30" spans="1:29" x14ac:dyDescent="0.55000000000000004">
      <c r="A30" s="4">
        <v>80</v>
      </c>
      <c r="B30" s="5">
        <v>256</v>
      </c>
      <c r="C30" s="5">
        <v>40</v>
      </c>
      <c r="D30" s="5">
        <f t="shared" si="0"/>
        <v>150</v>
      </c>
      <c r="E30" s="5">
        <v>3</v>
      </c>
      <c r="F30" s="5">
        <v>33.01</v>
      </c>
      <c r="G30" s="5">
        <v>20.102499999999999</v>
      </c>
      <c r="H30" s="5">
        <v>20.765000000000001</v>
      </c>
      <c r="I30" s="6">
        <v>30.3706</v>
      </c>
      <c r="K30" s="7">
        <v>80</v>
      </c>
      <c r="L30" s="8">
        <v>256</v>
      </c>
      <c r="M30" s="8">
        <v>64</v>
      </c>
      <c r="N30" s="8">
        <f t="shared" si="1"/>
        <v>720</v>
      </c>
      <c r="O30" s="8">
        <v>3</v>
      </c>
      <c r="P30" s="8">
        <v>42.68</v>
      </c>
      <c r="Q30" s="8">
        <v>22.069299999999998</v>
      </c>
      <c r="R30" s="8">
        <v>23.0716</v>
      </c>
      <c r="S30" s="9">
        <v>27.380700000000001</v>
      </c>
      <c r="U30" s="4">
        <v>80</v>
      </c>
      <c r="V30" s="5">
        <v>256</v>
      </c>
      <c r="W30" s="5">
        <v>64</v>
      </c>
      <c r="X30" s="5">
        <f t="shared" si="2"/>
        <v>720</v>
      </c>
      <c r="Y30" s="5">
        <v>3</v>
      </c>
      <c r="Z30" s="5">
        <v>105.98</v>
      </c>
      <c r="AA30" s="5">
        <v>15.8749</v>
      </c>
      <c r="AB30" s="5">
        <v>16.028300000000002</v>
      </c>
      <c r="AC30" s="6">
        <v>16.4041</v>
      </c>
    </row>
    <row r="31" spans="1:29" x14ac:dyDescent="0.55000000000000004">
      <c r="A31" s="4">
        <v>80</v>
      </c>
      <c r="B31" s="5">
        <v>256</v>
      </c>
      <c r="C31" s="5">
        <v>40</v>
      </c>
      <c r="D31" s="5">
        <f t="shared" si="0"/>
        <v>100</v>
      </c>
      <c r="E31" s="5">
        <v>2</v>
      </c>
      <c r="F31" s="5">
        <v>38.380000000000003</v>
      </c>
      <c r="G31" s="5">
        <v>19.663699999999999</v>
      </c>
      <c r="H31" s="5">
        <v>20.216699999999999</v>
      </c>
      <c r="I31" s="6">
        <v>27.181899999999999</v>
      </c>
      <c r="K31" s="4">
        <v>80</v>
      </c>
      <c r="L31" s="5">
        <v>256</v>
      </c>
      <c r="M31" s="5">
        <v>64</v>
      </c>
      <c r="N31" s="5">
        <f t="shared" si="1"/>
        <v>480</v>
      </c>
      <c r="O31" s="5">
        <v>2</v>
      </c>
      <c r="P31" s="5">
        <v>44.1</v>
      </c>
      <c r="Q31" s="5">
        <v>22.042000000000002</v>
      </c>
      <c r="R31" s="5">
        <v>23.029299999999999</v>
      </c>
      <c r="S31" s="6">
        <v>25.694700000000001</v>
      </c>
      <c r="U31" s="7">
        <v>80</v>
      </c>
      <c r="V31" s="8">
        <v>256</v>
      </c>
      <c r="W31" s="8">
        <v>64</v>
      </c>
      <c r="X31" s="8">
        <f t="shared" si="2"/>
        <v>480</v>
      </c>
      <c r="Y31" s="8">
        <v>2</v>
      </c>
      <c r="Z31" s="8">
        <v>61.81</v>
      </c>
      <c r="AA31" s="8">
        <v>22.033100000000001</v>
      </c>
      <c r="AB31" s="8">
        <v>23.028300000000002</v>
      </c>
      <c r="AC31" s="9">
        <v>25.613700000000001</v>
      </c>
    </row>
    <row r="32" spans="1:29" x14ac:dyDescent="0.55000000000000004">
      <c r="A32" s="16">
        <v>80</v>
      </c>
      <c r="B32" s="17">
        <v>256</v>
      </c>
      <c r="C32" s="17">
        <v>40</v>
      </c>
      <c r="D32" s="17">
        <f t="shared" si="0"/>
        <v>50</v>
      </c>
      <c r="E32" s="17">
        <v>1</v>
      </c>
      <c r="F32" s="17">
        <v>25.09</v>
      </c>
      <c r="G32" s="17">
        <v>21.4679</v>
      </c>
      <c r="H32" s="17">
        <v>22.139500000000002</v>
      </c>
      <c r="I32" s="18">
        <v>24.4221</v>
      </c>
      <c r="K32" s="10">
        <v>80</v>
      </c>
      <c r="L32" s="11">
        <v>256</v>
      </c>
      <c r="M32" s="11">
        <v>64</v>
      </c>
      <c r="N32" s="11">
        <f t="shared" si="1"/>
        <v>240</v>
      </c>
      <c r="O32" s="11">
        <v>1</v>
      </c>
      <c r="P32" s="11">
        <v>28.34</v>
      </c>
      <c r="Q32" s="11">
        <v>22.094100000000001</v>
      </c>
      <c r="R32" s="11">
        <v>23.068100000000001</v>
      </c>
      <c r="S32" s="12">
        <v>24.942399999999999</v>
      </c>
      <c r="U32" s="10">
        <v>80</v>
      </c>
      <c r="V32" s="11">
        <v>256</v>
      </c>
      <c r="W32" s="11">
        <v>64</v>
      </c>
      <c r="X32" s="11">
        <f t="shared" si="2"/>
        <v>240</v>
      </c>
      <c r="Y32" s="11">
        <v>1</v>
      </c>
      <c r="Z32" s="11">
        <v>36.799999999999997</v>
      </c>
      <c r="AA32" s="11">
        <v>22.094100000000001</v>
      </c>
      <c r="AB32" s="11">
        <v>23.068100000000001</v>
      </c>
      <c r="AC32" s="12">
        <v>24.942399999999999</v>
      </c>
    </row>
    <row r="33" spans="1:29" x14ac:dyDescent="0.55000000000000004">
      <c r="A33" s="1">
        <v>40</v>
      </c>
      <c r="B33" s="2">
        <v>1024</v>
      </c>
      <c r="C33" s="2">
        <v>40</v>
      </c>
      <c r="D33" s="2">
        <f t="shared" si="0"/>
        <v>250</v>
      </c>
      <c r="E33" s="2">
        <v>5</v>
      </c>
      <c r="F33" s="2">
        <v>59.13</v>
      </c>
      <c r="G33" s="2">
        <v>20.843</v>
      </c>
      <c r="H33" s="2">
        <v>22.133400000000002</v>
      </c>
      <c r="I33" s="3">
        <v>40.060400000000001</v>
      </c>
      <c r="K33" s="1">
        <v>40</v>
      </c>
      <c r="L33" s="2">
        <v>1024</v>
      </c>
      <c r="M33" s="2">
        <v>64</v>
      </c>
      <c r="N33" s="2">
        <f t="shared" si="1"/>
        <v>1200</v>
      </c>
      <c r="O33" s="2">
        <v>5</v>
      </c>
      <c r="P33" s="2">
        <v>70.150000000000006</v>
      </c>
      <c r="Q33" s="2">
        <v>21.616900000000001</v>
      </c>
      <c r="R33" s="2">
        <v>23.175000000000001</v>
      </c>
      <c r="S33" s="3">
        <v>28.241299999999999</v>
      </c>
      <c r="U33" s="1">
        <v>40</v>
      </c>
      <c r="V33" s="2">
        <v>1024</v>
      </c>
      <c r="W33" s="2">
        <v>64</v>
      </c>
      <c r="X33" s="2">
        <f t="shared" si="2"/>
        <v>1200</v>
      </c>
      <c r="Y33" s="2">
        <v>5</v>
      </c>
      <c r="Z33" s="2">
        <v>251.81</v>
      </c>
      <c r="AA33" s="2">
        <v>15.514799999999999</v>
      </c>
      <c r="AB33" s="2">
        <v>15.723699999999999</v>
      </c>
      <c r="AC33" s="3">
        <v>16.248100000000001</v>
      </c>
    </row>
    <row r="34" spans="1:29" x14ac:dyDescent="0.55000000000000004">
      <c r="A34" s="7">
        <v>40</v>
      </c>
      <c r="B34" s="8">
        <v>1024</v>
      </c>
      <c r="C34" s="8">
        <v>40</v>
      </c>
      <c r="D34" s="8">
        <f t="shared" si="0"/>
        <v>200</v>
      </c>
      <c r="E34" s="8">
        <v>4</v>
      </c>
      <c r="F34" s="8">
        <v>76.36</v>
      </c>
      <c r="G34" s="8">
        <v>21.4146</v>
      </c>
      <c r="H34" s="8">
        <v>22.8309</v>
      </c>
      <c r="I34" s="9">
        <v>32.266599999999997</v>
      </c>
      <c r="K34" s="4">
        <v>40</v>
      </c>
      <c r="L34" s="5">
        <v>1024</v>
      </c>
      <c r="M34" s="5">
        <v>64</v>
      </c>
      <c r="N34" s="5">
        <f t="shared" si="1"/>
        <v>960</v>
      </c>
      <c r="O34" s="5">
        <v>4</v>
      </c>
      <c r="P34" s="5">
        <v>73.459999999999994</v>
      </c>
      <c r="Q34" s="5">
        <v>21.6144</v>
      </c>
      <c r="R34" s="5">
        <v>23.171600000000002</v>
      </c>
      <c r="S34" s="6">
        <v>28.226800000000001</v>
      </c>
      <c r="U34" s="4">
        <v>40</v>
      </c>
      <c r="V34" s="5">
        <v>1024</v>
      </c>
      <c r="W34" s="5">
        <v>64</v>
      </c>
      <c r="X34" s="5">
        <f t="shared" si="2"/>
        <v>960</v>
      </c>
      <c r="Y34" s="5">
        <v>4</v>
      </c>
      <c r="Z34" s="5">
        <v>180.25</v>
      </c>
      <c r="AA34" s="5">
        <v>20.080400000000001</v>
      </c>
      <c r="AB34" s="5">
        <v>21.0276</v>
      </c>
      <c r="AC34" s="6">
        <v>23.040800000000001</v>
      </c>
    </row>
    <row r="35" spans="1:29" x14ac:dyDescent="0.55000000000000004">
      <c r="A35" s="4">
        <v>40</v>
      </c>
      <c r="B35" s="5">
        <v>1024</v>
      </c>
      <c r="C35" s="5">
        <v>40</v>
      </c>
      <c r="D35" s="5">
        <f t="shared" si="0"/>
        <v>150</v>
      </c>
      <c r="E35" s="5">
        <v>3</v>
      </c>
      <c r="F35" s="5">
        <v>43.78</v>
      </c>
      <c r="G35" s="5">
        <v>21.294599999999999</v>
      </c>
      <c r="H35" s="5">
        <v>22.6921</v>
      </c>
      <c r="I35" s="6">
        <v>36.538800000000002</v>
      </c>
      <c r="K35" s="7">
        <v>40</v>
      </c>
      <c r="L35" s="8">
        <v>1024</v>
      </c>
      <c r="M35" s="8">
        <v>64</v>
      </c>
      <c r="N35" s="8">
        <f t="shared" si="1"/>
        <v>720</v>
      </c>
      <c r="O35" s="8">
        <v>3</v>
      </c>
      <c r="P35" s="8">
        <v>54.12</v>
      </c>
      <c r="Q35" s="8">
        <v>21.587199999999999</v>
      </c>
      <c r="R35" s="8">
        <v>23.1831</v>
      </c>
      <c r="S35" s="9">
        <v>29.504000000000001</v>
      </c>
      <c r="U35" s="4">
        <v>40</v>
      </c>
      <c r="V35" s="5">
        <v>1024</v>
      </c>
      <c r="W35" s="5">
        <v>64</v>
      </c>
      <c r="X35" s="5">
        <f t="shared" si="2"/>
        <v>720</v>
      </c>
      <c r="Y35" s="5">
        <v>3</v>
      </c>
      <c r="Z35" s="5">
        <v>129.86000000000001</v>
      </c>
      <c r="AA35" s="5">
        <v>21.575800000000001</v>
      </c>
      <c r="AB35" s="5">
        <v>23.0623</v>
      </c>
      <c r="AC35" s="6">
        <v>26.747299999999999</v>
      </c>
    </row>
    <row r="36" spans="1:29" x14ac:dyDescent="0.55000000000000004">
      <c r="A36" s="4">
        <v>40</v>
      </c>
      <c r="B36" s="5">
        <v>1024</v>
      </c>
      <c r="C36" s="5">
        <v>40</v>
      </c>
      <c r="D36" s="5">
        <f t="shared" si="0"/>
        <v>100</v>
      </c>
      <c r="E36" s="5">
        <v>2</v>
      </c>
      <c r="F36" s="5">
        <v>49.12</v>
      </c>
      <c r="G36" s="5">
        <v>20.8171</v>
      </c>
      <c r="H36" s="5">
        <v>22.022200000000002</v>
      </c>
      <c r="I36" s="6">
        <v>34.900300000000001</v>
      </c>
      <c r="K36" s="4">
        <v>40</v>
      </c>
      <c r="L36" s="5">
        <v>1024</v>
      </c>
      <c r="M36" s="5">
        <v>64</v>
      </c>
      <c r="N36" s="5">
        <f t="shared" si="1"/>
        <v>480</v>
      </c>
      <c r="O36" s="5">
        <v>2</v>
      </c>
      <c r="P36" s="5">
        <v>58.24</v>
      </c>
      <c r="Q36" s="5">
        <v>21.5976</v>
      </c>
      <c r="R36" s="5">
        <v>23.073699999999999</v>
      </c>
      <c r="S36" s="6">
        <v>25.942399999999999</v>
      </c>
      <c r="U36" s="4">
        <v>40</v>
      </c>
      <c r="V36" s="5">
        <v>1024</v>
      </c>
      <c r="W36" s="5">
        <v>64</v>
      </c>
      <c r="X36" s="5">
        <f t="shared" si="2"/>
        <v>480</v>
      </c>
      <c r="Y36" s="5">
        <v>2</v>
      </c>
      <c r="Z36" s="5">
        <v>130.91</v>
      </c>
      <c r="AA36" s="5">
        <v>21.581900000000001</v>
      </c>
      <c r="AB36" s="5">
        <v>23.051200000000001</v>
      </c>
      <c r="AC36" s="6">
        <v>25.885899999999999</v>
      </c>
    </row>
    <row r="37" spans="1:29" x14ac:dyDescent="0.55000000000000004">
      <c r="A37" s="10">
        <v>40</v>
      </c>
      <c r="B37" s="11">
        <v>1024</v>
      </c>
      <c r="C37" s="11">
        <v>40</v>
      </c>
      <c r="D37" s="11">
        <f t="shared" si="0"/>
        <v>50</v>
      </c>
      <c r="E37" s="11">
        <v>1</v>
      </c>
      <c r="F37" s="11">
        <v>34.46</v>
      </c>
      <c r="G37" s="11">
        <v>20.055499999999999</v>
      </c>
      <c r="H37" s="11">
        <v>21.032599999999999</v>
      </c>
      <c r="I37" s="12">
        <v>29.0197</v>
      </c>
      <c r="K37" s="10">
        <v>40</v>
      </c>
      <c r="L37" s="11">
        <v>1024</v>
      </c>
      <c r="M37" s="11">
        <v>64</v>
      </c>
      <c r="N37" s="11">
        <f t="shared" si="1"/>
        <v>240</v>
      </c>
      <c r="O37" s="11">
        <v>1</v>
      </c>
      <c r="P37" s="11">
        <v>47.58</v>
      </c>
      <c r="Q37" s="11">
        <v>21.608499999999999</v>
      </c>
      <c r="R37" s="11">
        <v>23.1159</v>
      </c>
      <c r="S37" s="12">
        <v>26.870100000000001</v>
      </c>
      <c r="U37" s="16">
        <v>40</v>
      </c>
      <c r="V37" s="17">
        <v>1024</v>
      </c>
      <c r="W37" s="17">
        <v>64</v>
      </c>
      <c r="X37" s="17">
        <f t="shared" si="2"/>
        <v>240</v>
      </c>
      <c r="Y37" s="17">
        <v>1</v>
      </c>
      <c r="Z37" s="17">
        <v>80.099999999999994</v>
      </c>
      <c r="AA37" s="17">
        <v>21.608499999999999</v>
      </c>
      <c r="AB37" s="17">
        <v>23.1159</v>
      </c>
      <c r="AC37" s="18">
        <v>26.870100000000001</v>
      </c>
    </row>
    <row r="38" spans="1:29" x14ac:dyDescent="0.55000000000000004">
      <c r="A38" s="1">
        <v>40</v>
      </c>
      <c r="B38" s="2">
        <v>512</v>
      </c>
      <c r="C38" s="2">
        <v>40</v>
      </c>
      <c r="D38" s="2">
        <f t="shared" si="0"/>
        <v>250</v>
      </c>
      <c r="E38" s="2">
        <v>5</v>
      </c>
      <c r="F38" s="2">
        <v>54.39</v>
      </c>
      <c r="G38" s="2">
        <v>19.8203</v>
      </c>
      <c r="H38" s="2">
        <v>21.808299999999999</v>
      </c>
      <c r="I38" s="3">
        <v>30.154199999999999</v>
      </c>
      <c r="K38" s="1">
        <v>40</v>
      </c>
      <c r="L38" s="2">
        <v>512</v>
      </c>
      <c r="M38" s="2">
        <v>64</v>
      </c>
      <c r="N38" s="2">
        <f t="shared" si="1"/>
        <v>1200</v>
      </c>
      <c r="O38" s="2">
        <v>5</v>
      </c>
      <c r="P38" s="2">
        <v>61.45</v>
      </c>
      <c r="Q38" s="2">
        <v>20.828600000000002</v>
      </c>
      <c r="R38" s="2">
        <v>24.253599999999999</v>
      </c>
      <c r="S38" s="3">
        <v>31.209399999999999</v>
      </c>
      <c r="U38" s="1">
        <v>40</v>
      </c>
      <c r="V38" s="2">
        <v>512</v>
      </c>
      <c r="W38" s="2">
        <v>64</v>
      </c>
      <c r="X38" s="2">
        <f t="shared" si="2"/>
        <v>1200</v>
      </c>
      <c r="Y38" s="2">
        <v>5</v>
      </c>
      <c r="Z38" s="2">
        <v>477.14</v>
      </c>
      <c r="AA38" s="2">
        <v>11.2151</v>
      </c>
      <c r="AB38" s="2">
        <v>11.321999999999999</v>
      </c>
      <c r="AC38" s="3">
        <v>11.551600000000001</v>
      </c>
    </row>
    <row r="39" spans="1:29" x14ac:dyDescent="0.55000000000000004">
      <c r="A39" s="13">
        <v>40</v>
      </c>
      <c r="B39" s="14">
        <v>512</v>
      </c>
      <c r="C39" s="14">
        <v>40</v>
      </c>
      <c r="D39" s="14">
        <f t="shared" si="0"/>
        <v>200</v>
      </c>
      <c r="E39" s="14">
        <v>4</v>
      </c>
      <c r="F39" s="14">
        <v>70.89</v>
      </c>
      <c r="G39" s="14">
        <v>20.334900000000001</v>
      </c>
      <c r="H39" s="14">
        <v>22.722799999999999</v>
      </c>
      <c r="I39" s="15">
        <v>33.1721</v>
      </c>
      <c r="K39" s="4">
        <v>40</v>
      </c>
      <c r="L39" s="5">
        <v>512</v>
      </c>
      <c r="M39" s="5">
        <v>64</v>
      </c>
      <c r="N39" s="5">
        <f t="shared" si="1"/>
        <v>960</v>
      </c>
      <c r="O39" s="5">
        <v>4</v>
      </c>
      <c r="P39" s="5">
        <v>66.31</v>
      </c>
      <c r="Q39" s="5">
        <v>20.824200000000001</v>
      </c>
      <c r="R39" s="5">
        <v>24.239599999999999</v>
      </c>
      <c r="S39" s="6">
        <v>31.079499999999999</v>
      </c>
      <c r="U39" s="4">
        <v>40</v>
      </c>
      <c r="V39" s="5">
        <v>512</v>
      </c>
      <c r="W39" s="5">
        <v>64</v>
      </c>
      <c r="X39" s="5">
        <f t="shared" si="2"/>
        <v>960</v>
      </c>
      <c r="Y39" s="5">
        <v>4</v>
      </c>
      <c r="Z39" s="5">
        <v>325.19</v>
      </c>
      <c r="AA39" s="5">
        <v>12.6707</v>
      </c>
      <c r="AB39" s="5">
        <v>12.8931</v>
      </c>
      <c r="AC39" s="6">
        <v>13.2216</v>
      </c>
    </row>
    <row r="40" spans="1:29" x14ac:dyDescent="0.55000000000000004">
      <c r="A40" s="4">
        <v>40</v>
      </c>
      <c r="B40" s="5">
        <v>512</v>
      </c>
      <c r="C40" s="5">
        <v>40</v>
      </c>
      <c r="D40" s="5">
        <f t="shared" si="0"/>
        <v>150</v>
      </c>
      <c r="E40" s="5">
        <v>3</v>
      </c>
      <c r="F40" s="5">
        <v>38.78</v>
      </c>
      <c r="G40" s="5">
        <v>19.531300000000002</v>
      </c>
      <c r="H40" s="5">
        <v>21.181100000000001</v>
      </c>
      <c r="I40" s="6">
        <v>27.665299999999998</v>
      </c>
      <c r="K40" s="7">
        <v>40</v>
      </c>
      <c r="L40" s="8">
        <v>512</v>
      </c>
      <c r="M40" s="8">
        <v>64</v>
      </c>
      <c r="N40" s="8">
        <f t="shared" si="1"/>
        <v>720</v>
      </c>
      <c r="O40" s="8">
        <v>3</v>
      </c>
      <c r="P40" s="8">
        <v>43.9</v>
      </c>
      <c r="Q40" s="8">
        <v>20.825299999999999</v>
      </c>
      <c r="R40" s="8">
        <v>24.232900000000001</v>
      </c>
      <c r="S40" s="9">
        <v>31.093399999999999</v>
      </c>
      <c r="U40" s="4">
        <v>40</v>
      </c>
      <c r="V40" s="5">
        <v>512</v>
      </c>
      <c r="W40" s="5">
        <v>64</v>
      </c>
      <c r="X40" s="5">
        <f t="shared" si="2"/>
        <v>720</v>
      </c>
      <c r="Y40" s="5">
        <v>3</v>
      </c>
      <c r="Z40" s="5">
        <v>200.67</v>
      </c>
      <c r="AA40" s="5">
        <v>20.782699999999998</v>
      </c>
      <c r="AB40" s="5">
        <v>24.203299999999999</v>
      </c>
      <c r="AC40" s="6">
        <v>29.502500000000001</v>
      </c>
    </row>
    <row r="41" spans="1:29" x14ac:dyDescent="0.55000000000000004">
      <c r="A41" s="7">
        <v>40</v>
      </c>
      <c r="B41" s="8">
        <v>512</v>
      </c>
      <c r="C41" s="8">
        <v>40</v>
      </c>
      <c r="D41" s="8">
        <f t="shared" si="0"/>
        <v>100</v>
      </c>
      <c r="E41" s="8">
        <v>2</v>
      </c>
      <c r="F41" s="8">
        <v>44.04</v>
      </c>
      <c r="G41" s="8">
        <v>20.3919</v>
      </c>
      <c r="H41" s="8">
        <v>22.6919</v>
      </c>
      <c r="I41" s="9">
        <v>28.196899999999999</v>
      </c>
      <c r="K41" s="4">
        <v>40</v>
      </c>
      <c r="L41" s="5">
        <v>512</v>
      </c>
      <c r="M41" s="5">
        <v>64</v>
      </c>
      <c r="N41" s="5">
        <f t="shared" si="1"/>
        <v>480</v>
      </c>
      <c r="O41" s="5">
        <v>2</v>
      </c>
      <c r="P41" s="5">
        <v>51.1</v>
      </c>
      <c r="Q41" s="5">
        <v>20.8081</v>
      </c>
      <c r="R41" s="5">
        <v>24.1739</v>
      </c>
      <c r="S41" s="6">
        <v>30.703099999999999</v>
      </c>
      <c r="U41" s="4">
        <v>40</v>
      </c>
      <c r="V41" s="5">
        <v>512</v>
      </c>
      <c r="W41" s="5">
        <v>64</v>
      </c>
      <c r="X41" s="5">
        <f t="shared" si="2"/>
        <v>480</v>
      </c>
      <c r="Y41" s="5">
        <v>2</v>
      </c>
      <c r="Z41" s="5">
        <v>115.83</v>
      </c>
      <c r="AA41" s="5">
        <v>20.793199999999999</v>
      </c>
      <c r="AB41" s="5">
        <v>24.194299999999998</v>
      </c>
      <c r="AC41" s="6">
        <v>30.529299999999999</v>
      </c>
    </row>
    <row r="42" spans="1:29" x14ac:dyDescent="0.55000000000000004">
      <c r="A42" s="10">
        <v>40</v>
      </c>
      <c r="B42" s="11">
        <v>512</v>
      </c>
      <c r="C42" s="11">
        <v>40</v>
      </c>
      <c r="D42" s="11">
        <f t="shared" si="0"/>
        <v>50</v>
      </c>
      <c r="E42" s="11">
        <v>1</v>
      </c>
      <c r="F42" s="11">
        <v>28.52</v>
      </c>
      <c r="G42" s="11">
        <v>18.1312</v>
      </c>
      <c r="H42" s="11">
        <v>18.776</v>
      </c>
      <c r="I42" s="12">
        <v>23.115300000000001</v>
      </c>
      <c r="K42" s="10">
        <v>40</v>
      </c>
      <c r="L42" s="11">
        <v>512</v>
      </c>
      <c r="M42" s="11">
        <v>64</v>
      </c>
      <c r="N42" s="11">
        <f t="shared" si="1"/>
        <v>240</v>
      </c>
      <c r="O42" s="11">
        <v>1</v>
      </c>
      <c r="P42" s="11">
        <v>37.590000000000003</v>
      </c>
      <c r="Q42" s="11">
        <v>20.81</v>
      </c>
      <c r="R42" s="11">
        <v>24.201000000000001</v>
      </c>
      <c r="S42" s="12">
        <v>29.834099999999999</v>
      </c>
      <c r="U42" s="10">
        <v>40</v>
      </c>
      <c r="V42" s="11">
        <v>512</v>
      </c>
      <c r="W42" s="11">
        <v>64</v>
      </c>
      <c r="X42" s="11">
        <f t="shared" si="2"/>
        <v>240</v>
      </c>
      <c r="Y42" s="11">
        <v>1</v>
      </c>
      <c r="Z42" s="11">
        <v>67.27</v>
      </c>
      <c r="AA42" s="11">
        <v>20.81</v>
      </c>
      <c r="AB42" s="11">
        <v>24.201000000000001</v>
      </c>
      <c r="AC42" s="12">
        <v>29.834099999999999</v>
      </c>
    </row>
    <row r="43" spans="1:29" x14ac:dyDescent="0.55000000000000004">
      <c r="A43" s="1">
        <v>40</v>
      </c>
      <c r="B43" s="2">
        <v>256</v>
      </c>
      <c r="C43" s="2">
        <v>40</v>
      </c>
      <c r="D43" s="2">
        <f t="shared" si="0"/>
        <v>250</v>
      </c>
      <c r="E43" s="2">
        <v>5</v>
      </c>
      <c r="F43" s="2">
        <v>48.56</v>
      </c>
      <c r="G43" s="2">
        <v>18.848600000000001</v>
      </c>
      <c r="H43" s="2">
        <v>20.528600000000001</v>
      </c>
      <c r="I43" s="3">
        <v>24.64</v>
      </c>
      <c r="K43" s="1">
        <v>40</v>
      </c>
      <c r="L43" s="2">
        <v>256</v>
      </c>
      <c r="M43" s="2">
        <v>64</v>
      </c>
      <c r="N43" s="2">
        <f t="shared" si="1"/>
        <v>1200</v>
      </c>
      <c r="O43" s="2">
        <v>5</v>
      </c>
      <c r="P43" s="2">
        <v>54.76</v>
      </c>
      <c r="Q43" s="2">
        <v>19.8703</v>
      </c>
      <c r="R43" s="2">
        <v>26.488299999999999</v>
      </c>
      <c r="S43" s="3">
        <v>36.076500000000003</v>
      </c>
      <c r="U43" s="1">
        <v>40</v>
      </c>
      <c r="V43" s="2">
        <v>256</v>
      </c>
      <c r="W43" s="2">
        <v>64</v>
      </c>
      <c r="X43" s="2">
        <f t="shared" si="2"/>
        <v>1200</v>
      </c>
      <c r="Y43" s="2">
        <v>5</v>
      </c>
      <c r="Z43" s="2">
        <v>262.02999999999997</v>
      </c>
      <c r="AA43" s="2">
        <v>8.8369800000000005</v>
      </c>
      <c r="AB43" s="2">
        <v>8.9080499999999994</v>
      </c>
      <c r="AC43" s="3">
        <v>9.0371000000000006</v>
      </c>
    </row>
    <row r="44" spans="1:29" x14ac:dyDescent="0.55000000000000004">
      <c r="A44" s="7">
        <v>40</v>
      </c>
      <c r="B44" s="8">
        <v>256</v>
      </c>
      <c r="C44" s="8">
        <v>40</v>
      </c>
      <c r="D44" s="8">
        <f t="shared" si="0"/>
        <v>200</v>
      </c>
      <c r="E44" s="8">
        <v>4</v>
      </c>
      <c r="F44" s="8">
        <v>64.58</v>
      </c>
      <c r="G44" s="8">
        <v>19.718299999999999</v>
      </c>
      <c r="H44" s="8">
        <v>23.018599999999999</v>
      </c>
      <c r="I44" s="9">
        <v>28.818000000000001</v>
      </c>
      <c r="K44" s="4">
        <v>40</v>
      </c>
      <c r="L44" s="5">
        <v>256</v>
      </c>
      <c r="M44" s="5">
        <v>64</v>
      </c>
      <c r="N44" s="5">
        <f t="shared" si="1"/>
        <v>960</v>
      </c>
      <c r="O44" s="5">
        <v>4</v>
      </c>
      <c r="P44" s="5">
        <v>54.39</v>
      </c>
      <c r="Q44" s="5">
        <v>19.871400000000001</v>
      </c>
      <c r="R44" s="5">
        <v>26.678899999999999</v>
      </c>
      <c r="S44" s="6">
        <v>33.6999</v>
      </c>
      <c r="U44" s="4">
        <v>40</v>
      </c>
      <c r="V44" s="5">
        <v>256</v>
      </c>
      <c r="W44" s="5">
        <v>64</v>
      </c>
      <c r="X44" s="5">
        <f t="shared" si="2"/>
        <v>960</v>
      </c>
      <c r="Y44" s="5">
        <v>4</v>
      </c>
      <c r="Z44" s="5">
        <v>178.83</v>
      </c>
      <c r="AA44" s="5">
        <v>10.38</v>
      </c>
      <c r="AB44" s="5">
        <v>10.555899999999999</v>
      </c>
      <c r="AC44" s="6">
        <v>10.712400000000001</v>
      </c>
    </row>
    <row r="45" spans="1:29" x14ac:dyDescent="0.55000000000000004">
      <c r="A45" s="4">
        <v>40</v>
      </c>
      <c r="B45" s="5">
        <v>256</v>
      </c>
      <c r="C45" s="5">
        <v>40</v>
      </c>
      <c r="D45" s="5">
        <f t="shared" si="0"/>
        <v>150</v>
      </c>
      <c r="E45" s="5">
        <v>3</v>
      </c>
      <c r="F45" s="5">
        <v>32.99</v>
      </c>
      <c r="G45" s="5">
        <v>18.832999999999998</v>
      </c>
      <c r="H45" s="5">
        <v>20.491599999999998</v>
      </c>
      <c r="I45" s="6">
        <v>24.543600000000001</v>
      </c>
      <c r="K45" s="7">
        <v>40</v>
      </c>
      <c r="L45" s="8">
        <v>256</v>
      </c>
      <c r="M45" s="8">
        <v>64</v>
      </c>
      <c r="N45" s="8">
        <f t="shared" si="1"/>
        <v>720</v>
      </c>
      <c r="O45" s="8">
        <v>3</v>
      </c>
      <c r="P45" s="8">
        <v>35.229999999999997</v>
      </c>
      <c r="Q45" s="8">
        <v>19.864899999999999</v>
      </c>
      <c r="R45" s="8">
        <v>26.466000000000001</v>
      </c>
      <c r="S45" s="9">
        <v>35.747399999999999</v>
      </c>
      <c r="U45" s="4">
        <v>40</v>
      </c>
      <c r="V45" s="5">
        <v>256</v>
      </c>
      <c r="W45" s="5">
        <v>64</v>
      </c>
      <c r="X45" s="5">
        <f t="shared" si="2"/>
        <v>720</v>
      </c>
      <c r="Y45" s="5">
        <v>3</v>
      </c>
      <c r="Z45" s="5">
        <v>109.21</v>
      </c>
      <c r="AA45" s="5">
        <v>15.617800000000001</v>
      </c>
      <c r="AB45" s="5">
        <v>16.8568</v>
      </c>
      <c r="AC45" s="6">
        <v>17.313500000000001</v>
      </c>
    </row>
    <row r="46" spans="1:29" x14ac:dyDescent="0.55000000000000004">
      <c r="A46" s="4">
        <v>40</v>
      </c>
      <c r="B46" s="5">
        <v>256</v>
      </c>
      <c r="C46" s="5">
        <v>40</v>
      </c>
      <c r="D46" s="5">
        <f t="shared" si="0"/>
        <v>100</v>
      </c>
      <c r="E46" s="5">
        <v>2</v>
      </c>
      <c r="F46" s="5">
        <v>37.979999999999997</v>
      </c>
      <c r="G46" s="5">
        <v>18.574999999999999</v>
      </c>
      <c r="H46" s="5">
        <v>19.875299999999999</v>
      </c>
      <c r="I46" s="6">
        <v>23.272099999999998</v>
      </c>
      <c r="K46" s="4">
        <v>40</v>
      </c>
      <c r="L46" s="5">
        <v>256</v>
      </c>
      <c r="M46" s="5">
        <v>64</v>
      </c>
      <c r="N46" s="5">
        <f t="shared" si="1"/>
        <v>480</v>
      </c>
      <c r="O46" s="5">
        <v>2</v>
      </c>
      <c r="P46" s="5">
        <v>39.729999999999997</v>
      </c>
      <c r="Q46" s="5">
        <v>19.849299999999999</v>
      </c>
      <c r="R46" s="5">
        <v>26.240400000000001</v>
      </c>
      <c r="S46" s="6">
        <v>34.3048</v>
      </c>
      <c r="U46" s="4">
        <v>40</v>
      </c>
      <c r="V46" s="5">
        <v>256</v>
      </c>
      <c r="W46" s="5">
        <v>64</v>
      </c>
      <c r="X46" s="5">
        <f t="shared" si="2"/>
        <v>480</v>
      </c>
      <c r="Y46" s="5">
        <v>2</v>
      </c>
      <c r="Z46" s="5">
        <v>58.75</v>
      </c>
      <c r="AA46" s="5">
        <v>19.814499999999999</v>
      </c>
      <c r="AB46" s="5">
        <v>26.3842</v>
      </c>
      <c r="AC46" s="6">
        <v>34.191200000000002</v>
      </c>
    </row>
    <row r="47" spans="1:29" x14ac:dyDescent="0.55000000000000004">
      <c r="A47" s="10">
        <v>40</v>
      </c>
      <c r="B47" s="11">
        <v>256</v>
      </c>
      <c r="C47" s="11">
        <v>40</v>
      </c>
      <c r="D47" s="11">
        <f t="shared" si="0"/>
        <v>50</v>
      </c>
      <c r="E47" s="11">
        <v>1</v>
      </c>
      <c r="F47" s="11">
        <v>24.75</v>
      </c>
      <c r="G47" s="11">
        <v>19.623999999999999</v>
      </c>
      <c r="H47" s="11">
        <v>22.458400000000001</v>
      </c>
      <c r="I47" s="12">
        <v>27.3111</v>
      </c>
      <c r="K47" s="10">
        <v>40</v>
      </c>
      <c r="L47" s="11">
        <v>256</v>
      </c>
      <c r="M47" s="11">
        <v>64</v>
      </c>
      <c r="N47" s="11">
        <f t="shared" si="1"/>
        <v>240</v>
      </c>
      <c r="O47" s="11">
        <v>1</v>
      </c>
      <c r="P47" s="11">
        <v>26.46</v>
      </c>
      <c r="Q47" s="11">
        <v>19.851099999999999</v>
      </c>
      <c r="R47" s="11">
        <v>26.451899999999998</v>
      </c>
      <c r="S47" s="12">
        <v>32.3628</v>
      </c>
      <c r="U47" s="10">
        <v>40</v>
      </c>
      <c r="V47" s="11">
        <v>256</v>
      </c>
      <c r="W47" s="11">
        <v>64</v>
      </c>
      <c r="X47" s="11">
        <f t="shared" si="2"/>
        <v>240</v>
      </c>
      <c r="Y47" s="11">
        <v>1</v>
      </c>
      <c r="Z47" s="11">
        <v>33.17</v>
      </c>
      <c r="AA47" s="11">
        <v>19.851099999999999</v>
      </c>
      <c r="AB47" s="11">
        <v>26.451899999999998</v>
      </c>
      <c r="AC47" s="12">
        <v>32.3628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92BC-AEDA-45E2-8E57-AC3BC4E7F050}">
  <dimension ref="A1:E10"/>
  <sheetViews>
    <sheetView workbookViewId="0">
      <selection activeCell="D3" sqref="D3"/>
    </sheetView>
  </sheetViews>
  <sheetFormatPr defaultRowHeight="18" x14ac:dyDescent="0.55000000000000004"/>
  <cols>
    <col min="1" max="1" width="4.1640625" bestFit="1" customWidth="1"/>
    <col min="2" max="2" width="5.1640625" bestFit="1" customWidth="1"/>
    <col min="3" max="3" width="9.33203125" bestFit="1" customWidth="1"/>
    <col min="4" max="4" width="15.4140625" bestFit="1" customWidth="1"/>
    <col min="5" max="5" width="14.4140625" bestFit="1" customWidth="1"/>
    <col min="6" max="6" width="15.75" customWidth="1"/>
  </cols>
  <sheetData>
    <row r="1" spans="1:5" x14ac:dyDescent="0.55000000000000004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5" x14ac:dyDescent="0.55000000000000004">
      <c r="A2">
        <v>160</v>
      </c>
      <c r="B2">
        <v>1024</v>
      </c>
      <c r="C2">
        <v>17.258600000000001</v>
      </c>
      <c r="D2">
        <v>17.238299999999999</v>
      </c>
      <c r="E2">
        <v>26.773299999999999</v>
      </c>
    </row>
    <row r="3" spans="1:5" x14ac:dyDescent="0.55000000000000004">
      <c r="A3">
        <v>160</v>
      </c>
      <c r="B3">
        <v>512</v>
      </c>
      <c r="C3">
        <v>17.726199999999999</v>
      </c>
      <c r="D3">
        <v>17.6677</v>
      </c>
      <c r="E3">
        <v>25.598299999999998</v>
      </c>
    </row>
    <row r="4" spans="1:5" x14ac:dyDescent="0.55000000000000004">
      <c r="A4">
        <v>160</v>
      </c>
      <c r="B4">
        <v>256</v>
      </c>
      <c r="C4">
        <v>19.259599999999999</v>
      </c>
      <c r="D4">
        <v>19.1463</v>
      </c>
      <c r="E4">
        <v>25.043700000000001</v>
      </c>
    </row>
    <row r="5" spans="1:5" x14ac:dyDescent="0.55000000000000004">
      <c r="A5">
        <v>80</v>
      </c>
      <c r="B5">
        <v>1024</v>
      </c>
      <c r="C5">
        <v>19.633299999999998</v>
      </c>
      <c r="D5">
        <v>19.4849</v>
      </c>
      <c r="E5">
        <v>23.273399999999999</v>
      </c>
    </row>
    <row r="6" spans="1:5" x14ac:dyDescent="0.55000000000000004">
      <c r="A6">
        <v>80</v>
      </c>
      <c r="B6">
        <v>512</v>
      </c>
      <c r="C6">
        <v>20.389800000000001</v>
      </c>
      <c r="D6">
        <v>20.087</v>
      </c>
      <c r="E6">
        <v>22.272400000000001</v>
      </c>
    </row>
    <row r="7" spans="1:5" x14ac:dyDescent="0.55000000000000004">
      <c r="A7">
        <v>80</v>
      </c>
      <c r="B7">
        <v>256</v>
      </c>
      <c r="C7">
        <v>21.9833</v>
      </c>
      <c r="D7">
        <v>21.089300000000001</v>
      </c>
      <c r="E7">
        <v>21.71</v>
      </c>
    </row>
    <row r="8" spans="1:5" x14ac:dyDescent="0.55000000000000004">
      <c r="A8">
        <v>40</v>
      </c>
      <c r="B8">
        <v>1024</v>
      </c>
      <c r="C8">
        <v>22.4543</v>
      </c>
      <c r="D8">
        <v>21.056000000000001</v>
      </c>
      <c r="E8">
        <v>20.3338</v>
      </c>
    </row>
    <row r="9" spans="1:5" x14ac:dyDescent="0.55000000000000004">
      <c r="A9">
        <v>40</v>
      </c>
      <c r="B9">
        <v>512</v>
      </c>
      <c r="C9">
        <v>23.794899999999998</v>
      </c>
      <c r="D9">
        <v>20.607299999999999</v>
      </c>
      <c r="E9">
        <v>19.259399999999999</v>
      </c>
    </row>
    <row r="10" spans="1:5" x14ac:dyDescent="0.55000000000000004">
      <c r="A10">
        <v>40</v>
      </c>
      <c r="B10">
        <v>256</v>
      </c>
      <c r="C10">
        <v>26.057600000000001</v>
      </c>
      <c r="D10">
        <v>19.882400000000001</v>
      </c>
      <c r="E10">
        <v>18.700399999999998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2024-10-23T09:43:06Z</dcterms:created>
  <dcterms:modified xsi:type="dcterms:W3CDTF">2024-10-24T13:07:27Z</dcterms:modified>
</cp:coreProperties>
</file>